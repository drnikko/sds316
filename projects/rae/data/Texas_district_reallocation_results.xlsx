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dwilso26_villanova_edu/Documents/Gerrymandering/State data &amp; analyses/Texas analyses/"/>
    </mc:Choice>
  </mc:AlternateContent>
  <xr:revisionPtr revIDLastSave="3" documentId="8_{7D8583F9-AC67-48F5-B42B-D1586866BC4B}" xr6:coauthVersionLast="47" xr6:coauthVersionMax="47" xr10:uidLastSave="{785841C2-F882-4125-A209-0EB2BEA13BD1}"/>
  <bookViews>
    <workbookView xWindow="28680" yWindow="-120" windowWidth="29040" windowHeight="15840" activeTab="2" xr2:uid="{392869E8-B33C-483B-B486-326D998F04D9}"/>
  </bookViews>
  <sheets>
    <sheet name="house" sheetId="2" r:id="rId1"/>
    <sheet name="housesum" sheetId="3" r:id="rId2"/>
    <sheet name="senate" sheetId="4" r:id="rId3"/>
    <sheet name="senatesum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5" l="1"/>
  <c r="B15" i="5"/>
  <c r="B14" i="5"/>
  <c r="B13" i="5"/>
  <c r="B1" i="5"/>
  <c r="B16" i="3"/>
  <c r="B15" i="3"/>
  <c r="B14" i="3"/>
  <c r="B13" i="3"/>
  <c r="B1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2" i="2"/>
  <c r="B2" i="5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B3" i="5" l="1"/>
  <c r="B5" i="5" s="1"/>
  <c r="S2" i="4" s="1"/>
  <c r="S9" i="4" l="1"/>
  <c r="S17" i="4"/>
  <c r="S25" i="4"/>
  <c r="S4" i="4"/>
  <c r="S28" i="4"/>
  <c r="S13" i="4"/>
  <c r="S23" i="4"/>
  <c r="S8" i="4"/>
  <c r="S10" i="4"/>
  <c r="S18" i="4"/>
  <c r="S26" i="4"/>
  <c r="S20" i="4"/>
  <c r="S21" i="4"/>
  <c r="S7" i="4"/>
  <c r="S3" i="4"/>
  <c r="S11" i="4"/>
  <c r="S19" i="4"/>
  <c r="S27" i="4"/>
  <c r="S12" i="4"/>
  <c r="S5" i="4"/>
  <c r="S29" i="4"/>
  <c r="S15" i="4"/>
  <c r="S24" i="4"/>
  <c r="S6" i="4"/>
  <c r="S14" i="4"/>
  <c r="S22" i="4"/>
  <c r="S30" i="4"/>
  <c r="S31" i="4"/>
  <c r="S16" i="4"/>
  <c r="S32" i="4"/>
  <c r="B4" i="5"/>
  <c r="R2" i="4" s="1"/>
  <c r="R3" i="4" l="1"/>
  <c r="R11" i="4"/>
  <c r="R19" i="4"/>
  <c r="R27" i="4"/>
  <c r="R28" i="4"/>
  <c r="R21" i="4"/>
  <c r="R30" i="4"/>
  <c r="R7" i="4"/>
  <c r="R31" i="4"/>
  <c r="R25" i="4"/>
  <c r="R18" i="4"/>
  <c r="R4" i="4"/>
  <c r="R12" i="4"/>
  <c r="R20" i="4"/>
  <c r="R13" i="4"/>
  <c r="R14" i="4"/>
  <c r="R15" i="4"/>
  <c r="R17" i="4"/>
  <c r="R10" i="4"/>
  <c r="R5" i="4"/>
  <c r="R29" i="4"/>
  <c r="R6" i="4"/>
  <c r="R22" i="4"/>
  <c r="R23" i="4"/>
  <c r="R9" i="4"/>
  <c r="R8" i="4"/>
  <c r="R16" i="4"/>
  <c r="R24" i="4"/>
  <c r="R32" i="4"/>
  <c r="R26" i="4"/>
  <c r="B2" i="3" l="1"/>
  <c r="B3" i="3" s="1"/>
  <c r="B5" i="3" l="1"/>
  <c r="S6" i="2" l="1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118" i="2"/>
  <c r="S126" i="2"/>
  <c r="S134" i="2"/>
  <c r="S142" i="2"/>
  <c r="S150" i="2"/>
  <c r="S7" i="2"/>
  <c r="S15" i="2"/>
  <c r="S23" i="2"/>
  <c r="S31" i="2"/>
  <c r="S39" i="2"/>
  <c r="S47" i="2"/>
  <c r="S55" i="2"/>
  <c r="S63" i="2"/>
  <c r="S71" i="2"/>
  <c r="S79" i="2"/>
  <c r="S87" i="2"/>
  <c r="S95" i="2"/>
  <c r="S103" i="2"/>
  <c r="S111" i="2"/>
  <c r="S119" i="2"/>
  <c r="S127" i="2"/>
  <c r="S135" i="2"/>
  <c r="S143" i="2"/>
  <c r="S151" i="2"/>
  <c r="S8" i="2"/>
  <c r="S16" i="2"/>
  <c r="S24" i="2"/>
  <c r="S32" i="2"/>
  <c r="S40" i="2"/>
  <c r="S48" i="2"/>
  <c r="S56" i="2"/>
  <c r="S64" i="2"/>
  <c r="S72" i="2"/>
  <c r="S80" i="2"/>
  <c r="S88" i="2"/>
  <c r="S96" i="2"/>
  <c r="S104" i="2"/>
  <c r="S112" i="2"/>
  <c r="S120" i="2"/>
  <c r="S128" i="2"/>
  <c r="S136" i="2"/>
  <c r="S144" i="2"/>
  <c r="S2" i="2"/>
  <c r="S9" i="2"/>
  <c r="S17" i="2"/>
  <c r="S25" i="2"/>
  <c r="S33" i="2"/>
  <c r="S41" i="2"/>
  <c r="S49" i="2"/>
  <c r="S57" i="2"/>
  <c r="S65" i="2"/>
  <c r="S73" i="2"/>
  <c r="S81" i="2"/>
  <c r="S89" i="2"/>
  <c r="S97" i="2"/>
  <c r="S105" i="2"/>
  <c r="S113" i="2"/>
  <c r="S121" i="2"/>
  <c r="S129" i="2"/>
  <c r="S137" i="2"/>
  <c r="S145" i="2"/>
  <c r="S10" i="2"/>
  <c r="S18" i="2"/>
  <c r="S26" i="2"/>
  <c r="S34" i="2"/>
  <c r="S42" i="2"/>
  <c r="S50" i="2"/>
  <c r="S58" i="2"/>
  <c r="S66" i="2"/>
  <c r="S74" i="2"/>
  <c r="S82" i="2"/>
  <c r="S90" i="2"/>
  <c r="S98" i="2"/>
  <c r="S106" i="2"/>
  <c r="S114" i="2"/>
  <c r="S122" i="2"/>
  <c r="S130" i="2"/>
  <c r="S138" i="2"/>
  <c r="S146" i="2"/>
  <c r="S3" i="2"/>
  <c r="S11" i="2"/>
  <c r="S19" i="2"/>
  <c r="S27" i="2"/>
  <c r="S35" i="2"/>
  <c r="S43" i="2"/>
  <c r="S51" i="2"/>
  <c r="S59" i="2"/>
  <c r="S67" i="2"/>
  <c r="S75" i="2"/>
  <c r="S83" i="2"/>
  <c r="S91" i="2"/>
  <c r="S99" i="2"/>
  <c r="S107" i="2"/>
  <c r="S115" i="2"/>
  <c r="S123" i="2"/>
  <c r="S131" i="2"/>
  <c r="S139" i="2"/>
  <c r="S147" i="2"/>
  <c r="S4" i="2"/>
  <c r="S12" i="2"/>
  <c r="S20" i="2"/>
  <c r="S28" i="2"/>
  <c r="S36" i="2"/>
  <c r="S44" i="2"/>
  <c r="S52" i="2"/>
  <c r="S60" i="2"/>
  <c r="S68" i="2"/>
  <c r="S76" i="2"/>
  <c r="S84" i="2"/>
  <c r="S92" i="2"/>
  <c r="S100" i="2"/>
  <c r="S108" i="2"/>
  <c r="S116" i="2"/>
  <c r="S124" i="2"/>
  <c r="S132" i="2"/>
  <c r="S140" i="2"/>
  <c r="S148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117" i="2"/>
  <c r="S125" i="2"/>
  <c r="S133" i="2"/>
  <c r="S141" i="2"/>
  <c r="S149" i="2"/>
  <c r="B4" i="3"/>
  <c r="R8" i="2" l="1"/>
  <c r="R16" i="2"/>
  <c r="R24" i="2"/>
  <c r="R32" i="2"/>
  <c r="R40" i="2"/>
  <c r="R48" i="2"/>
  <c r="R56" i="2"/>
  <c r="R64" i="2"/>
  <c r="R72" i="2"/>
  <c r="R80" i="2"/>
  <c r="R88" i="2"/>
  <c r="R96" i="2"/>
  <c r="R104" i="2"/>
  <c r="R112" i="2"/>
  <c r="R120" i="2"/>
  <c r="R128" i="2"/>
  <c r="R136" i="2"/>
  <c r="R144" i="2"/>
  <c r="R2" i="2"/>
  <c r="R9" i="2"/>
  <c r="R17" i="2"/>
  <c r="R25" i="2"/>
  <c r="R33" i="2"/>
  <c r="R41" i="2"/>
  <c r="R49" i="2"/>
  <c r="R57" i="2"/>
  <c r="R65" i="2"/>
  <c r="R73" i="2"/>
  <c r="R81" i="2"/>
  <c r="R89" i="2"/>
  <c r="R97" i="2"/>
  <c r="R105" i="2"/>
  <c r="R113" i="2"/>
  <c r="R121" i="2"/>
  <c r="R129" i="2"/>
  <c r="R137" i="2"/>
  <c r="R145" i="2"/>
  <c r="R111" i="2"/>
  <c r="R10" i="2"/>
  <c r="R18" i="2"/>
  <c r="R26" i="2"/>
  <c r="R34" i="2"/>
  <c r="R42" i="2"/>
  <c r="R50" i="2"/>
  <c r="R58" i="2"/>
  <c r="R66" i="2"/>
  <c r="R74" i="2"/>
  <c r="R82" i="2"/>
  <c r="R90" i="2"/>
  <c r="R98" i="2"/>
  <c r="R106" i="2"/>
  <c r="R114" i="2"/>
  <c r="R122" i="2"/>
  <c r="R130" i="2"/>
  <c r="R138" i="2"/>
  <c r="R146" i="2"/>
  <c r="R127" i="2"/>
  <c r="R3" i="2"/>
  <c r="R11" i="2"/>
  <c r="R19" i="2"/>
  <c r="R27" i="2"/>
  <c r="R35" i="2"/>
  <c r="R43" i="2"/>
  <c r="R51" i="2"/>
  <c r="R59" i="2"/>
  <c r="R67" i="2"/>
  <c r="R75" i="2"/>
  <c r="R83" i="2"/>
  <c r="R91" i="2"/>
  <c r="R99" i="2"/>
  <c r="R107" i="2"/>
  <c r="R115" i="2"/>
  <c r="R123" i="2"/>
  <c r="R131" i="2"/>
  <c r="R139" i="2"/>
  <c r="R147" i="2"/>
  <c r="R135" i="2"/>
  <c r="R4" i="2"/>
  <c r="R12" i="2"/>
  <c r="R20" i="2"/>
  <c r="R28" i="2"/>
  <c r="R36" i="2"/>
  <c r="R44" i="2"/>
  <c r="R52" i="2"/>
  <c r="R60" i="2"/>
  <c r="R68" i="2"/>
  <c r="R76" i="2"/>
  <c r="R84" i="2"/>
  <c r="R92" i="2"/>
  <c r="R100" i="2"/>
  <c r="R108" i="2"/>
  <c r="R116" i="2"/>
  <c r="R124" i="2"/>
  <c r="R132" i="2"/>
  <c r="R140" i="2"/>
  <c r="R148" i="2"/>
  <c r="R103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R141" i="2"/>
  <c r="R149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0" i="2"/>
  <c r="R118" i="2"/>
  <c r="R126" i="2"/>
  <c r="R134" i="2"/>
  <c r="R142" i="2"/>
  <c r="R150" i="2"/>
  <c r="R7" i="2"/>
  <c r="R15" i="2"/>
  <c r="R23" i="2"/>
  <c r="R31" i="2"/>
  <c r="R39" i="2"/>
  <c r="R47" i="2"/>
  <c r="R55" i="2"/>
  <c r="R63" i="2"/>
  <c r="R71" i="2"/>
  <c r="R79" i="2"/>
  <c r="R87" i="2"/>
  <c r="R95" i="2"/>
  <c r="R119" i="2"/>
  <c r="R143" i="2"/>
  <c r="R151" i="2"/>
</calcChain>
</file>

<file path=xl/sharedStrings.xml><?xml version="1.0" encoding="utf-8"?>
<sst xmlns="http://schemas.openxmlformats.org/spreadsheetml/2006/main" count="68" uniqueCount="32">
  <si>
    <t>total pop</t>
  </si>
  <si>
    <t>target district size</t>
  </si>
  <si>
    <t>5% limit</t>
  </si>
  <si>
    <t>min size</t>
  </si>
  <si>
    <t>max size</t>
  </si>
  <si>
    <t>average impact by race</t>
  </si>
  <si>
    <t>white</t>
  </si>
  <si>
    <t>black</t>
  </si>
  <si>
    <t>hispanic</t>
  </si>
  <si>
    <t>other</t>
  </si>
  <si>
    <t>district_h</t>
  </si>
  <si>
    <t>total</t>
  </si>
  <si>
    <t>latino</t>
  </si>
  <si>
    <t>pctwhite</t>
  </si>
  <si>
    <t>adjtotal</t>
  </si>
  <si>
    <t>adjwhite</t>
  </si>
  <si>
    <t>adjblack</t>
  </si>
  <si>
    <t>adjlatino</t>
  </si>
  <si>
    <t>adjother</t>
  </si>
  <si>
    <t>changepop</t>
  </si>
  <si>
    <t>changew</t>
  </si>
  <si>
    <t>changeb</t>
  </si>
  <si>
    <t>changeo</t>
  </si>
  <si>
    <t>Total N</t>
  </si>
  <si>
    <t>toosmall</t>
  </si>
  <si>
    <t>toobig</t>
  </si>
  <si>
    <t>district_s</t>
  </si>
  <si>
    <t>changel</t>
  </si>
  <si>
    <t>avg adj % white</t>
  </si>
  <si>
    <t>avg adj % black</t>
  </si>
  <si>
    <t>avg adj % hispanic</t>
  </si>
  <si>
    <t>avg adj %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</si>
</sst>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0" borderId="0" xfId="0" applyNumberFormat="1"/>
    <xf numFmtId="3" fontId="0" fillId="0" borderId="0" xfId="0" applyNumberFormat="1"/>
    <xf numFmtId="1" fontId="3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center" wrapText="1"/>
    </xf>
    <xf numFmtId="164" fontId="3" fillId="0" borderId="0" xfId="0" applyNumberFormat="1" applyFont="1"/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wrapText="1"/>
    </xf>
    <xf numFmtId="1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3" fillId="0" borderId="0" xfId="0" applyNumberFormat="1" applyFont="1"/>
    <xf numFmtId="0" fontId="1" fillId="0" borderId="0" xfId="0" applyFont="1"/>
    <xf numFmtId="3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1" fontId="5" fillId="0" borderId="0" xfId="0" applyNumberFormat="1" applyFont="1"/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vertical="center" wrapText="1"/>
    </xf>
    <xf numFmtId="165" fontId="3" fillId="0" borderId="0" xfId="0" applyNumberFormat="1" applyFont="1"/>
    <xf numFmtId="0" fontId="4" fillId="0" borderId="0" xfId="0" applyFont="1"/>
    <xf numFmtId="164" fontId="0" fillId="0" borderId="0" xfId="0" applyNumberFormat="1"/>
    <xf numFmtId="1" fontId="6" fillId="0" borderId="0" xfId="0" applyNumberFormat="1" applyFont="1"/>
    <xf numFmtId="3" fontId="6" fillId="0" borderId="0" xfId="0" applyNumberFormat="1" applyFont="1"/>
    <xf numFmtId="3" fontId="6" fillId="0" borderId="0" xfId="0" applyNumberFormat="1" applyFont="1" applyFill="1"/>
    <xf numFmtId="164" fontId="6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9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D986-FF0B-4527-A1E0-81096CE6F3AD}">
  <dimension ref="A1:AB155"/>
  <sheetViews>
    <sheetView zoomScaleNormal="100" workbookViewId="0">
      <pane ySplit="1" topLeftCell="A2" activePane="bottomLeft" state="frozen"/>
      <selection pane="bottomLeft" activeCell="R1" sqref="R1:U1048576"/>
    </sheetView>
  </sheetViews>
  <sheetFormatPr defaultColWidth="8.7265625" defaultRowHeight="14.5" x14ac:dyDescent="0.35"/>
  <cols>
    <col min="1" max="1" width="8" style="3" customWidth="1"/>
    <col min="2" max="3" width="11.453125" style="3" customWidth="1"/>
    <col min="4" max="4" width="11.1796875" style="3" customWidth="1"/>
    <col min="5" max="5" width="10.81640625" style="3" bestFit="1" customWidth="1"/>
    <col min="6" max="6" width="10.453125" style="3" customWidth="1"/>
    <col min="7" max="7" width="10.453125" style="6" customWidth="1"/>
    <col min="8" max="8" width="10.81640625" style="3" bestFit="1" customWidth="1"/>
    <col min="9" max="9" width="11.54296875" style="3" customWidth="1"/>
    <col min="10" max="10" width="11.453125" style="3" customWidth="1"/>
    <col min="11" max="11" width="12" style="3" customWidth="1"/>
    <col min="12" max="12" width="9.81640625" style="3" customWidth="1"/>
    <col min="13" max="17" width="8.7265625" style="3" customWidth="1"/>
    <col min="18" max="18" width="6.453125" style="3" customWidth="1"/>
    <col min="19" max="19" width="7.453125" style="3" customWidth="1"/>
    <col min="20" max="20" width="8.7265625" style="3" customWidth="1"/>
    <col min="21" max="21" width="10.26953125" style="3" customWidth="1"/>
    <col min="22" max="23" width="10.453125" style="3" customWidth="1"/>
    <col min="24" max="24" width="4" style="3" customWidth="1"/>
    <col min="25" max="27" width="8.7265625" style="3"/>
    <col min="28" max="28" width="10.453125" style="3" customWidth="1"/>
    <col min="29" max="16384" width="8.7265625" style="1"/>
  </cols>
  <sheetData>
    <row r="1" spans="1:28" s="8" customFormat="1" ht="48.75" customHeight="1" x14ac:dyDescent="0.35">
      <c r="A1" s="9" t="s">
        <v>10</v>
      </c>
      <c r="B1" s="10" t="s">
        <v>11</v>
      </c>
      <c r="C1" s="10" t="s">
        <v>6</v>
      </c>
      <c r="D1" s="10" t="s">
        <v>7</v>
      </c>
      <c r="E1" s="9" t="s">
        <v>12</v>
      </c>
      <c r="F1" s="10" t="s">
        <v>9</v>
      </c>
      <c r="G1" s="10" t="s">
        <v>13</v>
      </c>
      <c r="H1" s="10" t="s">
        <v>14</v>
      </c>
      <c r="I1" s="10" t="s">
        <v>15</v>
      </c>
      <c r="J1" s="10" t="s">
        <v>16</v>
      </c>
      <c r="K1" s="9" t="s">
        <v>17</v>
      </c>
      <c r="L1" s="10" t="s">
        <v>18</v>
      </c>
      <c r="M1" s="10" t="s">
        <v>19</v>
      </c>
      <c r="N1" s="10" t="s">
        <v>20</v>
      </c>
      <c r="O1" s="10" t="s">
        <v>21</v>
      </c>
      <c r="P1" s="9" t="s">
        <v>27</v>
      </c>
      <c r="Q1" s="9" t="s">
        <v>22</v>
      </c>
      <c r="R1" s="9" t="s">
        <v>24</v>
      </c>
      <c r="S1" s="7" t="s">
        <v>25</v>
      </c>
    </row>
    <row r="2" spans="1:28" x14ac:dyDescent="0.35">
      <c r="A2" s="23">
        <v>1</v>
      </c>
      <c r="B2" s="25">
        <v>194995</v>
      </c>
      <c r="C2" s="25">
        <v>128452</v>
      </c>
      <c r="D2" s="25">
        <v>41405</v>
      </c>
      <c r="E2" s="25">
        <v>15298</v>
      </c>
      <c r="F2" s="25">
        <v>9840</v>
      </c>
      <c r="G2" s="26">
        <f>C2/B2</f>
        <v>0.65874509602810327</v>
      </c>
      <c r="H2" s="25">
        <v>194277</v>
      </c>
      <c r="I2" s="25">
        <v>128799</v>
      </c>
      <c r="J2" s="25">
        <v>41163</v>
      </c>
      <c r="K2" s="25">
        <v>14478</v>
      </c>
      <c r="L2" s="25">
        <v>9837</v>
      </c>
      <c r="M2" s="25">
        <v>-718.00070000000005</v>
      </c>
      <c r="N2" s="25">
        <v>346.99939999999998</v>
      </c>
      <c r="O2" s="25">
        <v>-241.9999</v>
      </c>
      <c r="P2" s="25">
        <v>-820</v>
      </c>
      <c r="Q2" s="25">
        <v>-3.0000290000000001</v>
      </c>
      <c r="R2" s="24">
        <f>COUNTIFS(H2,"&lt;=" &amp; housesum!$B$4 )</f>
        <v>0</v>
      </c>
      <c r="S2" s="24">
        <f>COUNTIFS(H2,"&gt;=" &amp; housesum!$B$5 )</f>
        <v>0</v>
      </c>
      <c r="T2" s="1"/>
      <c r="U2" s="1"/>
      <c r="V2" s="1"/>
      <c r="W2" s="1"/>
      <c r="X2" s="1"/>
      <c r="Y2" s="1"/>
      <c r="Z2" s="1"/>
      <c r="AA2" s="1"/>
      <c r="AB2" s="1"/>
    </row>
    <row r="3" spans="1:28" ht="16.5" customHeight="1" x14ac:dyDescent="0.35">
      <c r="A3" s="23">
        <v>2</v>
      </c>
      <c r="B3" s="25">
        <v>196284</v>
      </c>
      <c r="C3" s="25">
        <v>139560</v>
      </c>
      <c r="D3" s="25">
        <v>13652</v>
      </c>
      <c r="E3" s="25">
        <v>33228</v>
      </c>
      <c r="F3" s="25">
        <v>9844</v>
      </c>
      <c r="G3" s="26">
        <f t="shared" ref="G3:G66" si="0">C3/B3</f>
        <v>0.71101057651158528</v>
      </c>
      <c r="H3" s="25">
        <v>197753</v>
      </c>
      <c r="I3" s="25">
        <v>140530</v>
      </c>
      <c r="J3" s="25">
        <v>14027</v>
      </c>
      <c r="K3" s="25">
        <v>33347</v>
      </c>
      <c r="L3" s="25">
        <v>9849</v>
      </c>
      <c r="M3" s="25">
        <v>1469</v>
      </c>
      <c r="N3" s="25">
        <v>970.00019999999995</v>
      </c>
      <c r="O3" s="25">
        <v>375</v>
      </c>
      <c r="P3" s="25">
        <v>118.9999</v>
      </c>
      <c r="Q3" s="25">
        <v>4.9998649999999998</v>
      </c>
      <c r="R3" s="24">
        <f>COUNTIFS(H3,"&lt;=" &amp; housesum!$B$4 )</f>
        <v>0</v>
      </c>
      <c r="S3" s="24">
        <f>COUNTIFS(H3,"&gt;=" &amp; housesum!$B$5 )</f>
        <v>0</v>
      </c>
      <c r="T3" s="1"/>
      <c r="U3" s="1"/>
      <c r="V3" s="1"/>
      <c r="W3" s="1"/>
      <c r="X3" s="1"/>
      <c r="Y3" s="1"/>
      <c r="Z3" s="1"/>
      <c r="AA3" s="1"/>
      <c r="AB3" s="1"/>
    </row>
    <row r="4" spans="1:28" x14ac:dyDescent="0.35">
      <c r="A4" s="23">
        <v>3</v>
      </c>
      <c r="B4" s="25">
        <v>202477</v>
      </c>
      <c r="C4" s="25">
        <v>120870</v>
      </c>
      <c r="D4" s="25">
        <v>8584</v>
      </c>
      <c r="E4" s="25">
        <v>60199</v>
      </c>
      <c r="F4" s="25">
        <v>12824</v>
      </c>
      <c r="G4" s="26">
        <f t="shared" si="0"/>
        <v>0.59695669137729224</v>
      </c>
      <c r="H4" s="25">
        <v>203253.1</v>
      </c>
      <c r="I4" s="25">
        <v>121361.4</v>
      </c>
      <c r="J4" s="25">
        <v>8693.0609999999997</v>
      </c>
      <c r="K4" s="25">
        <v>60370.69</v>
      </c>
      <c r="L4" s="25">
        <v>12827.96</v>
      </c>
      <c r="M4" s="25">
        <v>776.13699999999994</v>
      </c>
      <c r="N4" s="25">
        <v>491.4169</v>
      </c>
      <c r="O4" s="25">
        <v>109.0608</v>
      </c>
      <c r="P4" s="25">
        <v>171.6942</v>
      </c>
      <c r="Q4" s="25">
        <v>3.964969</v>
      </c>
      <c r="R4" s="24">
        <f>COUNTIFS(H4,"&lt;=" &amp; housesum!$B$4 )</f>
        <v>0</v>
      </c>
      <c r="S4" s="24">
        <f>COUNTIFS(H4,"&gt;=" &amp; housesum!$B$5 )</f>
        <v>0</v>
      </c>
      <c r="T4" s="1"/>
      <c r="U4" s="1"/>
      <c r="V4" s="1"/>
      <c r="W4" s="1"/>
      <c r="X4" s="1"/>
      <c r="Y4" s="1"/>
      <c r="Z4" s="1"/>
      <c r="AA4" s="1"/>
      <c r="AB4" s="1"/>
    </row>
    <row r="5" spans="1:28" x14ac:dyDescent="0.35">
      <c r="A5" s="23">
        <v>4</v>
      </c>
      <c r="B5" s="25">
        <v>195819</v>
      </c>
      <c r="C5" s="25">
        <v>115380</v>
      </c>
      <c r="D5" s="25">
        <v>27148</v>
      </c>
      <c r="E5" s="25">
        <v>44027</v>
      </c>
      <c r="F5" s="25">
        <v>9264</v>
      </c>
      <c r="G5" s="26">
        <f t="shared" si="0"/>
        <v>0.58921759379835459</v>
      </c>
      <c r="H5" s="25">
        <v>196703.4</v>
      </c>
      <c r="I5" s="25">
        <v>115919.8</v>
      </c>
      <c r="J5" s="25">
        <v>27401.82</v>
      </c>
      <c r="K5" s="25">
        <v>44115.78</v>
      </c>
      <c r="L5" s="25">
        <v>9266</v>
      </c>
      <c r="M5" s="25">
        <v>884.37030000000004</v>
      </c>
      <c r="N5" s="25">
        <v>539.76949999999999</v>
      </c>
      <c r="O5" s="25">
        <v>253.8168</v>
      </c>
      <c r="P5" s="25">
        <v>88.784229999999994</v>
      </c>
      <c r="Q5" s="25">
        <v>1.999943</v>
      </c>
      <c r="R5" s="24">
        <f>COUNTIFS(H5,"&lt;=" &amp; housesum!$B$4 )</f>
        <v>0</v>
      </c>
      <c r="S5" s="24">
        <f>COUNTIFS(H5,"&gt;=" &amp; housesum!$B$5 )</f>
        <v>0</v>
      </c>
      <c r="T5" s="1"/>
      <c r="U5" s="1"/>
      <c r="V5" s="1"/>
      <c r="W5" s="1"/>
      <c r="X5" s="1"/>
      <c r="Y5" s="1"/>
      <c r="Z5" s="1"/>
      <c r="AA5" s="1"/>
      <c r="AB5" s="1"/>
    </row>
    <row r="6" spans="1:28" x14ac:dyDescent="0.35">
      <c r="A6" s="23">
        <v>5</v>
      </c>
      <c r="B6" s="25">
        <v>186084</v>
      </c>
      <c r="C6" s="25">
        <v>125669</v>
      </c>
      <c r="D6" s="25">
        <v>16588</v>
      </c>
      <c r="E6" s="25">
        <v>35845</v>
      </c>
      <c r="F6" s="25">
        <v>7982</v>
      </c>
      <c r="G6" s="26">
        <f t="shared" si="0"/>
        <v>0.67533479503879967</v>
      </c>
      <c r="H6" s="25">
        <v>186882.3</v>
      </c>
      <c r="I6" s="25">
        <v>126276.8</v>
      </c>
      <c r="J6" s="25">
        <v>16803.16</v>
      </c>
      <c r="K6" s="25">
        <v>35824.160000000003</v>
      </c>
      <c r="L6" s="25">
        <v>7978.1019999999999</v>
      </c>
      <c r="M6" s="25">
        <v>798.25959999999998</v>
      </c>
      <c r="N6" s="25">
        <v>607.83320000000003</v>
      </c>
      <c r="O6" s="25">
        <v>215.16210000000001</v>
      </c>
      <c r="P6" s="25">
        <v>-20.83765</v>
      </c>
      <c r="Q6" s="25">
        <v>-3.898047</v>
      </c>
      <c r="R6" s="24">
        <f>COUNTIFS(H6,"&lt;=" &amp; housesum!$B$4 )</f>
        <v>0</v>
      </c>
      <c r="S6" s="24">
        <f>COUNTIFS(H6,"&gt;=" &amp; housesum!$B$5 )</f>
        <v>0</v>
      </c>
      <c r="T6" s="1"/>
      <c r="U6" s="1"/>
      <c r="V6" s="1"/>
      <c r="W6" s="1"/>
      <c r="X6" s="1"/>
      <c r="Y6" s="1"/>
      <c r="Z6" s="1"/>
      <c r="AA6" s="1"/>
      <c r="AB6" s="1"/>
    </row>
    <row r="7" spans="1:28" x14ac:dyDescent="0.35">
      <c r="A7" s="23">
        <v>6</v>
      </c>
      <c r="B7" s="25">
        <v>189005</v>
      </c>
      <c r="C7" s="25">
        <v>106250</v>
      </c>
      <c r="D7" s="25">
        <v>35083</v>
      </c>
      <c r="E7" s="25">
        <v>38327</v>
      </c>
      <c r="F7" s="25">
        <v>9345</v>
      </c>
      <c r="G7" s="26">
        <f t="shared" si="0"/>
        <v>0.56215444035872064</v>
      </c>
      <c r="H7" s="25">
        <v>191164.7</v>
      </c>
      <c r="I7" s="25">
        <v>107176.2</v>
      </c>
      <c r="J7" s="25">
        <v>36078.839999999997</v>
      </c>
      <c r="K7" s="25">
        <v>38558.839999999997</v>
      </c>
      <c r="L7" s="25">
        <v>9350.8979999999992</v>
      </c>
      <c r="M7" s="25">
        <v>2159.7399999999998</v>
      </c>
      <c r="N7" s="25">
        <v>926.1671</v>
      </c>
      <c r="O7" s="25">
        <v>995.83699999999999</v>
      </c>
      <c r="P7" s="25">
        <v>231.83779999999999</v>
      </c>
      <c r="Q7" s="25">
        <v>5.8979419999999996</v>
      </c>
      <c r="R7" s="24">
        <f>COUNTIFS(H7,"&lt;=" &amp; housesum!$B$4 )</f>
        <v>0</v>
      </c>
      <c r="S7" s="24">
        <f>COUNTIFS(H7,"&gt;=" &amp; housesum!$B$5 )</f>
        <v>0</v>
      </c>
      <c r="T7" s="1"/>
      <c r="U7" s="1"/>
      <c r="V7" s="1"/>
      <c r="W7" s="1"/>
      <c r="X7" s="1"/>
      <c r="Y7" s="1"/>
      <c r="Z7" s="1"/>
      <c r="AA7" s="1"/>
      <c r="AB7" s="1"/>
    </row>
    <row r="8" spans="1:28" s="3" customFormat="1" x14ac:dyDescent="0.35">
      <c r="A8" s="23">
        <v>7</v>
      </c>
      <c r="B8" s="25">
        <v>202803</v>
      </c>
      <c r="C8" s="25">
        <v>116958</v>
      </c>
      <c r="D8" s="25">
        <v>43098</v>
      </c>
      <c r="E8" s="25">
        <v>34268</v>
      </c>
      <c r="F8" s="25">
        <v>8479</v>
      </c>
      <c r="G8" s="26">
        <f t="shared" si="0"/>
        <v>0.5767074451561367</v>
      </c>
      <c r="H8" s="25">
        <v>204635</v>
      </c>
      <c r="I8" s="25">
        <v>117802</v>
      </c>
      <c r="J8" s="25">
        <v>43950</v>
      </c>
      <c r="K8" s="25">
        <v>34402</v>
      </c>
      <c r="L8" s="25">
        <v>8481</v>
      </c>
      <c r="M8" s="25">
        <v>1832</v>
      </c>
      <c r="N8" s="25">
        <v>844</v>
      </c>
      <c r="O8" s="25">
        <v>852.00030000000004</v>
      </c>
      <c r="P8" s="25">
        <v>133.99969999999999</v>
      </c>
      <c r="Q8" s="25">
        <v>2.0000179999999999</v>
      </c>
      <c r="R8" s="24">
        <f>COUNTIFS(H8,"&lt;=" &amp; housesum!$B$4 )</f>
        <v>0</v>
      </c>
      <c r="S8" s="24">
        <f>COUNTIFS(H8,"&gt;=" &amp; housesum!$B$5 )</f>
        <v>1</v>
      </c>
    </row>
    <row r="9" spans="1:28" s="3" customFormat="1" x14ac:dyDescent="0.35">
      <c r="A9" s="23">
        <v>8</v>
      </c>
      <c r="B9" s="25">
        <v>192599</v>
      </c>
      <c r="C9" s="25">
        <v>115289</v>
      </c>
      <c r="D9" s="25">
        <v>27665</v>
      </c>
      <c r="E9" s="25">
        <v>42337</v>
      </c>
      <c r="F9" s="25">
        <v>7308</v>
      </c>
      <c r="G9" s="26">
        <f t="shared" si="0"/>
        <v>0.59859604670844602</v>
      </c>
      <c r="H9" s="25">
        <v>179796.6</v>
      </c>
      <c r="I9" s="25">
        <v>111336.2</v>
      </c>
      <c r="J9" s="25">
        <v>22524.18</v>
      </c>
      <c r="K9" s="25">
        <v>38696.22</v>
      </c>
      <c r="L9" s="25">
        <v>7240</v>
      </c>
      <c r="M9" s="25">
        <v>-12802.37</v>
      </c>
      <c r="N9" s="25">
        <v>-3952.7689999999998</v>
      </c>
      <c r="O9" s="25">
        <v>-5140.817</v>
      </c>
      <c r="P9" s="25">
        <v>-3640.7840000000001</v>
      </c>
      <c r="Q9" s="25">
        <v>-68.00009</v>
      </c>
      <c r="R9" s="24">
        <f>COUNTIFS(H9,"&lt;=" &amp; housesum!$B$4 )</f>
        <v>1</v>
      </c>
      <c r="S9" s="24">
        <f>COUNTIFS(H9,"&gt;=" &amp; housesum!$B$5 )</f>
        <v>0</v>
      </c>
    </row>
    <row r="10" spans="1:28" x14ac:dyDescent="0.35">
      <c r="A10" s="23">
        <v>9</v>
      </c>
      <c r="B10" s="25">
        <v>199902</v>
      </c>
      <c r="C10" s="25">
        <v>128840</v>
      </c>
      <c r="D10" s="25">
        <v>29702</v>
      </c>
      <c r="E10" s="25">
        <v>33621</v>
      </c>
      <c r="F10" s="25">
        <v>7739</v>
      </c>
      <c r="G10" s="26">
        <f t="shared" si="0"/>
        <v>0.64451581274824665</v>
      </c>
      <c r="H10" s="25">
        <v>193591</v>
      </c>
      <c r="I10" s="25">
        <v>127543</v>
      </c>
      <c r="J10" s="25">
        <v>27097</v>
      </c>
      <c r="K10" s="25">
        <v>31263</v>
      </c>
      <c r="L10" s="25">
        <v>7688</v>
      </c>
      <c r="M10" s="25">
        <v>-6311</v>
      </c>
      <c r="N10" s="25">
        <v>-1297</v>
      </c>
      <c r="O10" s="25">
        <v>-2605</v>
      </c>
      <c r="P10" s="25">
        <v>-2358</v>
      </c>
      <c r="Q10" s="25">
        <v>-50.999949999999998</v>
      </c>
      <c r="R10" s="24">
        <f>COUNTIFS(H10,"&lt;=" &amp; housesum!$B$4 )</f>
        <v>0</v>
      </c>
      <c r="S10" s="24">
        <f>COUNTIFS(H10,"&gt;=" &amp; housesum!$B$5 )</f>
        <v>0</v>
      </c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5">
      <c r="A11" s="23">
        <v>10</v>
      </c>
      <c r="B11" s="25">
        <v>192455</v>
      </c>
      <c r="C11" s="25">
        <v>106495</v>
      </c>
      <c r="D11" s="25">
        <v>25811</v>
      </c>
      <c r="E11" s="25">
        <v>52032</v>
      </c>
      <c r="F11" s="25">
        <v>8117</v>
      </c>
      <c r="G11" s="26">
        <f t="shared" si="0"/>
        <v>0.55335013379751108</v>
      </c>
      <c r="H11" s="25">
        <v>193376</v>
      </c>
      <c r="I11" s="25">
        <v>106965</v>
      </c>
      <c r="J11" s="25">
        <v>26088</v>
      </c>
      <c r="K11" s="25">
        <v>52202</v>
      </c>
      <c r="L11" s="25">
        <v>8121</v>
      </c>
      <c r="M11" s="25">
        <v>920.99940000000004</v>
      </c>
      <c r="N11" s="25">
        <v>469.99990000000003</v>
      </c>
      <c r="O11" s="25">
        <v>276.99990000000003</v>
      </c>
      <c r="P11" s="25">
        <v>169.99950000000001</v>
      </c>
      <c r="Q11" s="25">
        <v>4.0000689999999999</v>
      </c>
      <c r="R11" s="24">
        <f>COUNTIFS(H11,"&lt;=" &amp; housesum!$B$4 )</f>
        <v>0</v>
      </c>
      <c r="S11" s="24">
        <f>COUNTIFS(H11,"&gt;=" &amp; housesum!$B$5 )</f>
        <v>0</v>
      </c>
      <c r="T11" s="1"/>
      <c r="U11" s="1"/>
      <c r="V11" s="1"/>
      <c r="W11" s="1"/>
      <c r="X11" s="1"/>
      <c r="Y11" s="1"/>
      <c r="Z11" s="1"/>
      <c r="AA11" s="1"/>
      <c r="AB11" s="1"/>
    </row>
    <row r="12" spans="1:28" s="3" customFormat="1" x14ac:dyDescent="0.35">
      <c r="A12" s="23">
        <v>11</v>
      </c>
      <c r="B12" s="25">
        <v>185491</v>
      </c>
      <c r="C12" s="25">
        <v>117250</v>
      </c>
      <c r="D12" s="25">
        <v>30713</v>
      </c>
      <c r="E12" s="25">
        <v>30788</v>
      </c>
      <c r="F12" s="25">
        <v>6740</v>
      </c>
      <c r="G12" s="26">
        <f t="shared" si="0"/>
        <v>0.63210613992053521</v>
      </c>
      <c r="H12" s="25">
        <v>183475</v>
      </c>
      <c r="I12" s="25">
        <v>116417</v>
      </c>
      <c r="J12" s="25">
        <v>30171</v>
      </c>
      <c r="K12" s="25">
        <v>30166</v>
      </c>
      <c r="L12" s="25">
        <v>6721</v>
      </c>
      <c r="M12" s="25">
        <v>-2016.001</v>
      </c>
      <c r="N12" s="25">
        <v>-833.00019999999995</v>
      </c>
      <c r="O12" s="25">
        <v>-542</v>
      </c>
      <c r="P12" s="25">
        <v>-622.00009999999997</v>
      </c>
      <c r="Q12" s="25">
        <v>-19.000060000000001</v>
      </c>
      <c r="R12" s="24">
        <f>COUNTIFS(H12,"&lt;=" &amp; housesum!$B$4 )</f>
        <v>1</v>
      </c>
      <c r="S12" s="24">
        <f>COUNTIFS(H12,"&gt;=" &amp; housesum!$B$5 )</f>
        <v>0</v>
      </c>
    </row>
    <row r="13" spans="1:28" x14ac:dyDescent="0.35">
      <c r="A13" s="23">
        <v>12</v>
      </c>
      <c r="B13" s="25">
        <v>202487</v>
      </c>
      <c r="C13" s="25">
        <v>111581</v>
      </c>
      <c r="D13" s="25">
        <v>37241</v>
      </c>
      <c r="E13" s="25">
        <v>45987</v>
      </c>
      <c r="F13" s="25">
        <v>7678</v>
      </c>
      <c r="G13" s="26">
        <f t="shared" si="0"/>
        <v>0.55105266017077636</v>
      </c>
      <c r="H13" s="25">
        <v>186641.5</v>
      </c>
      <c r="I13" s="25">
        <v>106130</v>
      </c>
      <c r="J13" s="25">
        <v>31826.95</v>
      </c>
      <c r="K13" s="25">
        <v>41097.46</v>
      </c>
      <c r="L13" s="25">
        <v>7587.1270000000004</v>
      </c>
      <c r="M13" s="25">
        <v>-15845.46</v>
      </c>
      <c r="N13" s="25">
        <v>-5450.9930000000004</v>
      </c>
      <c r="O13" s="25">
        <v>-5414.0479999999998</v>
      </c>
      <c r="P13" s="25">
        <v>-4889.5450000000001</v>
      </c>
      <c r="Q13" s="25">
        <v>-90.873400000000004</v>
      </c>
      <c r="R13" s="24">
        <f>COUNTIFS(H13,"&lt;=" &amp; housesum!$B$4 )</f>
        <v>0</v>
      </c>
      <c r="S13" s="24">
        <f>COUNTIFS(H13,"&gt;=" &amp; housesum!$B$5 )</f>
        <v>0</v>
      </c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5">
      <c r="A14" s="23">
        <v>13</v>
      </c>
      <c r="B14" s="25">
        <v>188981</v>
      </c>
      <c r="C14" s="25">
        <v>103809</v>
      </c>
      <c r="D14" s="25">
        <v>31579</v>
      </c>
      <c r="E14" s="25">
        <v>46777</v>
      </c>
      <c r="F14" s="25">
        <v>6816</v>
      </c>
      <c r="G14" s="26">
        <f t="shared" si="0"/>
        <v>0.54930918981273247</v>
      </c>
      <c r="H14" s="25">
        <v>187900.1</v>
      </c>
      <c r="I14" s="25">
        <v>103308.8</v>
      </c>
      <c r="J14" s="25">
        <v>31527</v>
      </c>
      <c r="K14" s="25">
        <v>46262.95</v>
      </c>
      <c r="L14" s="25">
        <v>6801.4049999999997</v>
      </c>
      <c r="M14" s="25">
        <v>-1080.8520000000001</v>
      </c>
      <c r="N14" s="25">
        <v>-500.21010000000001</v>
      </c>
      <c r="O14" s="25">
        <v>-51.996769999999998</v>
      </c>
      <c r="P14" s="25">
        <v>-514.04930000000002</v>
      </c>
      <c r="Q14" s="25">
        <v>-14.595190000000001</v>
      </c>
      <c r="R14" s="24">
        <f>COUNTIFS(H14,"&lt;=" &amp; housesum!$B$4 )</f>
        <v>0</v>
      </c>
      <c r="S14" s="24">
        <f>COUNTIFS(H14,"&gt;=" &amp; housesum!$B$5 )</f>
        <v>0</v>
      </c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5">
      <c r="A15" s="23">
        <v>14</v>
      </c>
      <c r="B15" s="25">
        <v>203047</v>
      </c>
      <c r="C15" s="25">
        <v>106699</v>
      </c>
      <c r="D15" s="25">
        <v>21328</v>
      </c>
      <c r="E15" s="25">
        <v>54387</v>
      </c>
      <c r="F15" s="25">
        <v>20633</v>
      </c>
      <c r="G15" s="26">
        <f t="shared" si="0"/>
        <v>0.52548917245760829</v>
      </c>
      <c r="H15" s="25">
        <v>203236.5</v>
      </c>
      <c r="I15" s="25">
        <v>106646</v>
      </c>
      <c r="J15" s="25">
        <v>21655.05</v>
      </c>
      <c r="K15" s="25">
        <v>54308.54</v>
      </c>
      <c r="L15" s="25">
        <v>20626.87</v>
      </c>
      <c r="M15" s="25">
        <v>189.45840000000001</v>
      </c>
      <c r="N15" s="25">
        <v>-53.007129999999997</v>
      </c>
      <c r="O15" s="25">
        <v>327.0478</v>
      </c>
      <c r="P15" s="25">
        <v>-78.455609999999993</v>
      </c>
      <c r="Q15" s="25">
        <v>-6.1267719999999999</v>
      </c>
      <c r="R15" s="24">
        <f>COUNTIFS(H15,"&lt;=" &amp; housesum!$B$4 )</f>
        <v>0</v>
      </c>
      <c r="S15" s="24">
        <f>COUNTIFS(H15,"&gt;=" &amp; housesum!$B$5 )</f>
        <v>0</v>
      </c>
      <c r="T15" s="5"/>
      <c r="U15" s="14"/>
      <c r="V15" s="14"/>
      <c r="W15" s="14"/>
      <c r="X15" s="14"/>
      <c r="Z15" s="19"/>
    </row>
    <row r="16" spans="1:28" x14ac:dyDescent="0.35">
      <c r="A16" s="23">
        <v>15</v>
      </c>
      <c r="B16" s="25">
        <v>200185</v>
      </c>
      <c r="C16" s="25">
        <v>121058</v>
      </c>
      <c r="D16" s="25">
        <v>16919</v>
      </c>
      <c r="E16" s="25">
        <v>40477</v>
      </c>
      <c r="F16" s="25">
        <v>21731</v>
      </c>
      <c r="G16" s="26">
        <f t="shared" si="0"/>
        <v>0.60473062417264034</v>
      </c>
      <c r="H16" s="25">
        <v>201014.3</v>
      </c>
      <c r="I16" s="25">
        <v>121550.2</v>
      </c>
      <c r="J16" s="25">
        <v>17133.96</v>
      </c>
      <c r="K16" s="25">
        <v>40592.449999999997</v>
      </c>
      <c r="L16" s="25">
        <v>21737.72</v>
      </c>
      <c r="M16" s="25">
        <v>829.30319999999995</v>
      </c>
      <c r="N16" s="25">
        <v>492.18130000000002</v>
      </c>
      <c r="O16" s="25">
        <v>214.95820000000001</v>
      </c>
      <c r="P16" s="25">
        <v>115.4451</v>
      </c>
      <c r="Q16" s="25">
        <v>6.7187960000000002</v>
      </c>
      <c r="R16" s="24">
        <f>COUNTIFS(H16,"&lt;=" &amp; housesum!$B$4 )</f>
        <v>0</v>
      </c>
      <c r="S16" s="24">
        <f>COUNTIFS(H16,"&gt;=" &amp; housesum!$B$5 )</f>
        <v>0</v>
      </c>
      <c r="T16" s="4"/>
      <c r="U16" s="14"/>
      <c r="V16" s="14"/>
      <c r="W16" s="14"/>
      <c r="X16" s="14"/>
      <c r="Y16" s="4"/>
      <c r="Z16" s="6"/>
    </row>
    <row r="17" spans="1:26" x14ac:dyDescent="0.35">
      <c r="A17" s="23">
        <v>16</v>
      </c>
      <c r="B17" s="25">
        <v>190052</v>
      </c>
      <c r="C17" s="25">
        <v>113877</v>
      </c>
      <c r="D17" s="25">
        <v>13303</v>
      </c>
      <c r="E17" s="25">
        <v>53356</v>
      </c>
      <c r="F17" s="25">
        <v>9516</v>
      </c>
      <c r="G17" s="26">
        <f t="shared" si="0"/>
        <v>0.59918864310820197</v>
      </c>
      <c r="H17" s="25">
        <v>190839.1</v>
      </c>
      <c r="I17" s="25">
        <v>114340</v>
      </c>
      <c r="J17" s="25">
        <v>13472.02</v>
      </c>
      <c r="K17" s="25">
        <v>53508.18</v>
      </c>
      <c r="L17" s="25">
        <v>9518.9419999999991</v>
      </c>
      <c r="M17" s="25">
        <v>787.12199999999996</v>
      </c>
      <c r="N17" s="25">
        <v>462.98559999999998</v>
      </c>
      <c r="O17" s="25">
        <v>169.0164</v>
      </c>
      <c r="P17" s="25">
        <v>152.17750000000001</v>
      </c>
      <c r="Q17" s="25">
        <v>2.942215</v>
      </c>
      <c r="R17" s="24">
        <f>COUNTIFS(H17,"&lt;=" &amp; housesum!$B$4 )</f>
        <v>0</v>
      </c>
      <c r="S17" s="24">
        <f>COUNTIFS(H17,"&gt;=" &amp; housesum!$B$5 )</f>
        <v>0</v>
      </c>
      <c r="T17" s="4"/>
      <c r="U17" s="14"/>
      <c r="V17" s="14"/>
      <c r="W17" s="14"/>
      <c r="X17" s="14"/>
      <c r="Z17" s="6"/>
    </row>
    <row r="18" spans="1:26" x14ac:dyDescent="0.35">
      <c r="A18" s="23">
        <v>17</v>
      </c>
      <c r="B18" s="25">
        <v>202973</v>
      </c>
      <c r="C18" s="25">
        <v>99548</v>
      </c>
      <c r="D18" s="25">
        <v>14986</v>
      </c>
      <c r="E18" s="25">
        <v>81407</v>
      </c>
      <c r="F18" s="25">
        <v>7032</v>
      </c>
      <c r="G18" s="26">
        <f t="shared" si="0"/>
        <v>0.49044946864853944</v>
      </c>
      <c r="H18" s="25">
        <v>202951</v>
      </c>
      <c r="I18" s="25">
        <v>99373</v>
      </c>
      <c r="J18" s="25">
        <v>15111</v>
      </c>
      <c r="K18" s="25">
        <v>81439</v>
      </c>
      <c r="L18" s="25">
        <v>7028</v>
      </c>
      <c r="M18" s="25">
        <v>-22.001750000000001</v>
      </c>
      <c r="N18" s="25">
        <v>-175.00149999999999</v>
      </c>
      <c r="O18" s="25">
        <v>124.9999</v>
      </c>
      <c r="P18" s="25">
        <v>31.9998</v>
      </c>
      <c r="Q18" s="25">
        <v>-3.9999600000000002</v>
      </c>
      <c r="R18" s="24">
        <f>COUNTIFS(H18,"&lt;=" &amp; housesum!$B$4 )</f>
        <v>0</v>
      </c>
      <c r="S18" s="24">
        <f>COUNTIFS(H18,"&gt;=" &amp; housesum!$B$5 )</f>
        <v>0</v>
      </c>
      <c r="U18" s="14"/>
      <c r="V18" s="14"/>
      <c r="W18" s="14"/>
      <c r="X18" s="14"/>
      <c r="Z18" s="6"/>
    </row>
    <row r="19" spans="1:26" x14ac:dyDescent="0.35">
      <c r="A19" s="23">
        <v>18</v>
      </c>
      <c r="B19" s="25">
        <v>202990</v>
      </c>
      <c r="C19" s="25">
        <v>131746</v>
      </c>
      <c r="D19" s="25">
        <v>14424</v>
      </c>
      <c r="E19" s="25">
        <v>49093</v>
      </c>
      <c r="F19" s="25">
        <v>7727</v>
      </c>
      <c r="G19" s="26">
        <f t="shared" si="0"/>
        <v>0.6490270456672742</v>
      </c>
      <c r="H19" s="25">
        <v>200123.4</v>
      </c>
      <c r="I19" s="25">
        <v>130584.4</v>
      </c>
      <c r="J19" s="25">
        <v>13766.96</v>
      </c>
      <c r="K19" s="25">
        <v>48063.68</v>
      </c>
      <c r="L19" s="25">
        <v>7708.3739999999998</v>
      </c>
      <c r="M19" s="25">
        <v>-2866.5619999999999</v>
      </c>
      <c r="N19" s="25">
        <v>-1161.5840000000001</v>
      </c>
      <c r="O19" s="25">
        <v>-657.03539999999998</v>
      </c>
      <c r="P19" s="25">
        <v>-1029.316</v>
      </c>
      <c r="Q19" s="25">
        <v>-18.625520000000002</v>
      </c>
      <c r="R19" s="24">
        <f>COUNTIFS(H19,"&lt;=" &amp; housesum!$B$4 )</f>
        <v>0</v>
      </c>
      <c r="S19" s="24">
        <f>COUNTIFS(H19,"&gt;=" &amp; housesum!$B$5 )</f>
        <v>0</v>
      </c>
      <c r="T19" s="4"/>
      <c r="U19" s="14"/>
      <c r="V19" s="14"/>
      <c r="W19" s="14"/>
      <c r="X19" s="14"/>
      <c r="Z19" s="6"/>
    </row>
    <row r="20" spans="1:26" x14ac:dyDescent="0.35">
      <c r="A20" s="23">
        <v>19</v>
      </c>
      <c r="B20" s="25">
        <v>202995</v>
      </c>
      <c r="C20" s="25">
        <v>147870</v>
      </c>
      <c r="D20" s="25">
        <v>3371</v>
      </c>
      <c r="E20" s="25">
        <v>38480</v>
      </c>
      <c r="F20" s="25">
        <v>13274</v>
      </c>
      <c r="G20" s="26">
        <f t="shared" si="0"/>
        <v>0.72844158723121255</v>
      </c>
      <c r="H20" s="25">
        <v>203328.1</v>
      </c>
      <c r="I20" s="25">
        <v>148084.70000000001</v>
      </c>
      <c r="J20" s="25">
        <v>3377.2240000000002</v>
      </c>
      <c r="K20" s="25">
        <v>38592.120000000003</v>
      </c>
      <c r="L20" s="25">
        <v>13273.99</v>
      </c>
      <c r="M20" s="25">
        <v>333.06079999999997</v>
      </c>
      <c r="N20" s="25">
        <v>214.73249999999999</v>
      </c>
      <c r="O20" s="25">
        <v>6.2241720000000003</v>
      </c>
      <c r="P20" s="25">
        <v>112.11579999999999</v>
      </c>
      <c r="Q20" s="25">
        <v>-1.1850599999999999E-2</v>
      </c>
      <c r="R20" s="24">
        <f>COUNTIFS(H20,"&lt;=" &amp; housesum!$B$4 )</f>
        <v>0</v>
      </c>
      <c r="S20" s="24">
        <f>COUNTIFS(H20,"&gt;=" &amp; housesum!$B$5 )</f>
        <v>0</v>
      </c>
      <c r="T20" s="4"/>
      <c r="U20" s="14"/>
      <c r="V20" s="14"/>
      <c r="W20" s="14"/>
      <c r="X20" s="14"/>
      <c r="Y20" s="4"/>
      <c r="Z20" s="6"/>
    </row>
    <row r="21" spans="1:26" s="3" customFormat="1" x14ac:dyDescent="0.35">
      <c r="A21" s="23">
        <v>20</v>
      </c>
      <c r="B21" s="25">
        <v>203898</v>
      </c>
      <c r="C21" s="25">
        <v>132341</v>
      </c>
      <c r="D21" s="25">
        <v>10367</v>
      </c>
      <c r="E21" s="25">
        <v>45812</v>
      </c>
      <c r="F21" s="25">
        <v>15378</v>
      </c>
      <c r="G21" s="26">
        <f t="shared" si="0"/>
        <v>0.64905491961667106</v>
      </c>
      <c r="H21" s="25">
        <v>204258.4</v>
      </c>
      <c r="I21" s="25">
        <v>132553.79999999999</v>
      </c>
      <c r="J21" s="25">
        <v>10413.629999999999</v>
      </c>
      <c r="K21" s="25">
        <v>45911.98</v>
      </c>
      <c r="L21" s="25">
        <v>15378.97</v>
      </c>
      <c r="M21" s="25">
        <v>360.3999</v>
      </c>
      <c r="N21" s="25">
        <v>212.82499999999999</v>
      </c>
      <c r="O21" s="25">
        <v>46.629289999999997</v>
      </c>
      <c r="P21" s="25">
        <v>99.978520000000003</v>
      </c>
      <c r="Q21" s="25">
        <v>0.96730490000000002</v>
      </c>
      <c r="R21" s="24">
        <f>COUNTIFS(H21,"&lt;=" &amp; housesum!$B$4 )</f>
        <v>0</v>
      </c>
      <c r="S21" s="24">
        <f>COUNTIFS(H21,"&gt;=" &amp; housesum!$B$5 )</f>
        <v>1</v>
      </c>
      <c r="T21" s="4"/>
      <c r="U21" s="14"/>
      <c r="V21" s="14"/>
      <c r="W21" s="14"/>
      <c r="X21" s="14"/>
      <c r="Y21" s="16"/>
      <c r="Z21" s="6"/>
    </row>
    <row r="22" spans="1:26" x14ac:dyDescent="0.35">
      <c r="A22" s="23">
        <v>21</v>
      </c>
      <c r="B22" s="25">
        <v>187992</v>
      </c>
      <c r="C22" s="25">
        <v>133180</v>
      </c>
      <c r="D22" s="25">
        <v>24789</v>
      </c>
      <c r="E22" s="25">
        <v>19738</v>
      </c>
      <c r="F22" s="25">
        <v>10285</v>
      </c>
      <c r="G22" s="26">
        <f t="shared" si="0"/>
        <v>0.70843440146389203</v>
      </c>
      <c r="H22" s="25">
        <v>188953</v>
      </c>
      <c r="I22" s="25">
        <v>133902.29999999999</v>
      </c>
      <c r="J22" s="25">
        <v>25101.21</v>
      </c>
      <c r="K22" s="25">
        <v>19657.52</v>
      </c>
      <c r="L22" s="25">
        <v>10291.959999999999</v>
      </c>
      <c r="M22" s="25">
        <v>961.01319999999998</v>
      </c>
      <c r="N22" s="25">
        <v>722.31569999999999</v>
      </c>
      <c r="O22" s="25">
        <v>312.21289999999999</v>
      </c>
      <c r="P22" s="25">
        <v>-80.477879999999999</v>
      </c>
      <c r="Q22" s="25">
        <v>6.962288</v>
      </c>
      <c r="R22" s="24">
        <f>COUNTIFS(H22,"&lt;=" &amp; housesum!$B$4 )</f>
        <v>0</v>
      </c>
      <c r="S22" s="24">
        <f>COUNTIFS(H22,"&gt;=" &amp; housesum!$B$5 )</f>
        <v>0</v>
      </c>
      <c r="T22" s="4"/>
      <c r="U22" s="14"/>
      <c r="V22" s="14"/>
      <c r="W22" s="14"/>
      <c r="X22" s="14"/>
      <c r="Y22" s="4"/>
      <c r="Z22" s="6"/>
    </row>
    <row r="23" spans="1:26" s="3" customFormat="1" x14ac:dyDescent="0.35">
      <c r="A23" s="23">
        <v>22</v>
      </c>
      <c r="B23" s="25">
        <v>186322</v>
      </c>
      <c r="C23" s="25">
        <v>51597</v>
      </c>
      <c r="D23" s="25">
        <v>76614</v>
      </c>
      <c r="E23" s="25">
        <v>48640</v>
      </c>
      <c r="F23" s="25">
        <v>9471</v>
      </c>
      <c r="G23" s="26">
        <f t="shared" si="0"/>
        <v>0.27692382005345584</v>
      </c>
      <c r="H23" s="25">
        <v>182249</v>
      </c>
      <c r="I23" s="25">
        <v>49774.68</v>
      </c>
      <c r="J23" s="25">
        <v>75702.789999999994</v>
      </c>
      <c r="K23" s="25">
        <v>47311.48</v>
      </c>
      <c r="L23" s="25">
        <v>9460.0380000000005</v>
      </c>
      <c r="M23" s="25">
        <v>-4073.0129999999999</v>
      </c>
      <c r="N23" s="25">
        <v>-1822.316</v>
      </c>
      <c r="O23" s="25">
        <v>-911.21220000000005</v>
      </c>
      <c r="P23" s="25">
        <v>-1328.5229999999999</v>
      </c>
      <c r="Q23" s="25">
        <v>-10.96232</v>
      </c>
      <c r="R23" s="24">
        <f>COUNTIFS(H23,"&lt;=" &amp; housesum!$B$4 )</f>
        <v>1</v>
      </c>
      <c r="S23" s="24">
        <f>COUNTIFS(H23,"&gt;=" &amp; housesum!$B$5 )</f>
        <v>0</v>
      </c>
      <c r="T23" s="4"/>
      <c r="U23" s="14"/>
      <c r="V23" s="14"/>
      <c r="W23" s="14"/>
      <c r="X23" s="14"/>
      <c r="Y23" s="4"/>
      <c r="Z23" s="6"/>
    </row>
    <row r="24" spans="1:26" x14ac:dyDescent="0.35">
      <c r="A24" s="23">
        <v>23</v>
      </c>
      <c r="B24" s="25">
        <v>198405</v>
      </c>
      <c r="C24" s="25">
        <v>101948</v>
      </c>
      <c r="D24" s="25">
        <v>29481</v>
      </c>
      <c r="E24" s="25">
        <v>56252</v>
      </c>
      <c r="F24" s="25">
        <v>10724</v>
      </c>
      <c r="G24" s="26">
        <f t="shared" si="0"/>
        <v>0.51383785690884809</v>
      </c>
      <c r="H24" s="25">
        <v>198781.9</v>
      </c>
      <c r="I24" s="25">
        <v>102024.6</v>
      </c>
      <c r="J24" s="25">
        <v>29737.69</v>
      </c>
      <c r="K24" s="25">
        <v>56300.86</v>
      </c>
      <c r="L24" s="25">
        <v>10718.77</v>
      </c>
      <c r="M24" s="25">
        <v>376.9212</v>
      </c>
      <c r="N24" s="25">
        <v>76.604299999999995</v>
      </c>
      <c r="O24" s="25">
        <v>256.6909</v>
      </c>
      <c r="P24" s="25">
        <v>48.855580000000003</v>
      </c>
      <c r="Q24" s="25">
        <v>-5.229616</v>
      </c>
      <c r="R24" s="24">
        <f>COUNTIFS(H24,"&lt;=" &amp; housesum!$B$4 )</f>
        <v>0</v>
      </c>
      <c r="S24" s="24">
        <f>COUNTIFS(H24,"&gt;=" &amp; housesum!$B$5 )</f>
        <v>0</v>
      </c>
      <c r="T24" s="4"/>
      <c r="U24" s="14"/>
      <c r="V24" s="14"/>
      <c r="W24" s="14"/>
      <c r="X24" s="14"/>
      <c r="Y24" s="4"/>
      <c r="Z24" s="6"/>
    </row>
    <row r="25" spans="1:26" x14ac:dyDescent="0.35">
      <c r="A25" s="23">
        <v>24</v>
      </c>
      <c r="B25" s="25">
        <v>198848</v>
      </c>
      <c r="C25" s="25">
        <v>119268</v>
      </c>
      <c r="D25" s="25">
        <v>20706</v>
      </c>
      <c r="E25" s="25">
        <v>43336</v>
      </c>
      <c r="F25" s="25">
        <v>15538</v>
      </c>
      <c r="G25" s="26">
        <f t="shared" si="0"/>
        <v>0.59979481815255875</v>
      </c>
      <c r="H25" s="25">
        <v>199631.1</v>
      </c>
      <c r="I25" s="25">
        <v>119629.4</v>
      </c>
      <c r="J25" s="25">
        <v>20990.31</v>
      </c>
      <c r="K25" s="25">
        <v>43470.14</v>
      </c>
      <c r="L25" s="25">
        <v>15541.23</v>
      </c>
      <c r="M25" s="25">
        <v>783.07929999999999</v>
      </c>
      <c r="N25" s="25">
        <v>361.3954</v>
      </c>
      <c r="O25" s="25">
        <v>284.30930000000001</v>
      </c>
      <c r="P25" s="25">
        <v>134.1446</v>
      </c>
      <c r="Q25" s="25">
        <v>3.2301099999999998</v>
      </c>
      <c r="R25" s="24">
        <f>COUNTIFS(H25,"&lt;=" &amp; housesum!$B$4 )</f>
        <v>0</v>
      </c>
      <c r="S25" s="24">
        <f>COUNTIFS(H25,"&gt;=" &amp; housesum!$B$5 )</f>
        <v>0</v>
      </c>
      <c r="U25" s="14"/>
      <c r="V25" s="14"/>
      <c r="W25" s="14"/>
      <c r="X25" s="14"/>
      <c r="Y25" s="4"/>
    </row>
    <row r="26" spans="1:26" x14ac:dyDescent="0.35">
      <c r="A26" s="23">
        <v>25</v>
      </c>
      <c r="B26" s="25">
        <v>186855</v>
      </c>
      <c r="C26" s="25">
        <v>80425</v>
      </c>
      <c r="D26" s="25">
        <v>33865</v>
      </c>
      <c r="E26" s="25">
        <v>55714</v>
      </c>
      <c r="F26" s="25">
        <v>16851</v>
      </c>
      <c r="G26" s="26">
        <f t="shared" si="0"/>
        <v>0.43041395734660565</v>
      </c>
      <c r="H26" s="25">
        <v>179478.7</v>
      </c>
      <c r="I26" s="25">
        <v>78155.289999999994</v>
      </c>
      <c r="J26" s="25">
        <v>31089.8</v>
      </c>
      <c r="K26" s="25">
        <v>53423.05</v>
      </c>
      <c r="L26" s="25">
        <v>16810.53</v>
      </c>
      <c r="M26" s="25">
        <v>-7376.3360000000002</v>
      </c>
      <c r="N26" s="25">
        <v>-2269.7109999999998</v>
      </c>
      <c r="O26" s="25">
        <v>-2775.1959999999999</v>
      </c>
      <c r="P26" s="25">
        <v>-2290.9549999999999</v>
      </c>
      <c r="Q26" s="25">
        <v>-40.47354</v>
      </c>
      <c r="R26" s="24">
        <f>COUNTIFS(H26,"&lt;=" &amp; housesum!$B$4 )</f>
        <v>1</v>
      </c>
      <c r="S26" s="24">
        <f>COUNTIFS(H26,"&gt;=" &amp; housesum!$B$5 )</f>
        <v>0</v>
      </c>
      <c r="U26" s="6"/>
      <c r="V26" s="6"/>
      <c r="W26" s="6"/>
      <c r="X26" s="6"/>
    </row>
    <row r="27" spans="1:26" x14ac:dyDescent="0.35">
      <c r="A27" s="23">
        <v>26</v>
      </c>
      <c r="B27" s="25">
        <v>199811</v>
      </c>
      <c r="C27" s="25">
        <v>84165</v>
      </c>
      <c r="D27" s="25">
        <v>23320</v>
      </c>
      <c r="E27" s="25">
        <v>46914</v>
      </c>
      <c r="F27" s="25">
        <v>45412</v>
      </c>
      <c r="G27" s="26">
        <f t="shared" si="0"/>
        <v>0.4212230557877194</v>
      </c>
      <c r="H27" s="25">
        <v>200015.4</v>
      </c>
      <c r="I27" s="25">
        <v>84223.53</v>
      </c>
      <c r="J27" s="25">
        <v>23384.32</v>
      </c>
      <c r="K27" s="25">
        <v>46992.39</v>
      </c>
      <c r="L27" s="25">
        <v>45415.12</v>
      </c>
      <c r="M27" s="25">
        <v>204.3664</v>
      </c>
      <c r="N27" s="25">
        <v>58.533169999999998</v>
      </c>
      <c r="O27" s="25">
        <v>64.319280000000006</v>
      </c>
      <c r="P27" s="25">
        <v>78.390730000000005</v>
      </c>
      <c r="Q27" s="25">
        <v>3.1232380000000002</v>
      </c>
      <c r="R27" s="24">
        <f>COUNTIFS(H27,"&lt;=" &amp; housesum!$B$4 )</f>
        <v>0</v>
      </c>
      <c r="S27" s="24">
        <f>COUNTIFS(H27,"&gt;=" &amp; housesum!$B$5 )</f>
        <v>0</v>
      </c>
      <c r="U27" s="6"/>
      <c r="V27" s="6"/>
      <c r="W27" s="6"/>
      <c r="X27" s="6"/>
    </row>
    <row r="28" spans="1:26" x14ac:dyDescent="0.35">
      <c r="A28" s="23">
        <v>27</v>
      </c>
      <c r="B28" s="25">
        <v>197352</v>
      </c>
      <c r="C28" s="25">
        <v>32701</v>
      </c>
      <c r="D28" s="25">
        <v>80854</v>
      </c>
      <c r="E28" s="25">
        <v>49795</v>
      </c>
      <c r="F28" s="25">
        <v>34002</v>
      </c>
      <c r="G28" s="26">
        <f t="shared" si="0"/>
        <v>0.16569885281122057</v>
      </c>
      <c r="H28" s="25">
        <v>197683.3</v>
      </c>
      <c r="I28" s="25">
        <v>32723.74</v>
      </c>
      <c r="J28" s="25">
        <v>81077</v>
      </c>
      <c r="K28" s="25">
        <v>49878.2</v>
      </c>
      <c r="L28" s="25">
        <v>34004.339999999997</v>
      </c>
      <c r="M28" s="25">
        <v>331.2903</v>
      </c>
      <c r="N28" s="25">
        <v>22.742149999999999</v>
      </c>
      <c r="O28" s="25">
        <v>223.00479999999999</v>
      </c>
      <c r="P28" s="25">
        <v>83.204790000000003</v>
      </c>
      <c r="Q28" s="25">
        <v>2.33846</v>
      </c>
      <c r="R28" s="24">
        <f>COUNTIFS(H28,"&lt;=" &amp; housesum!$B$4 )</f>
        <v>0</v>
      </c>
      <c r="S28" s="24">
        <f>COUNTIFS(H28,"&gt;=" &amp; housesum!$B$5 )</f>
        <v>0</v>
      </c>
      <c r="U28" s="6"/>
      <c r="V28" s="6"/>
      <c r="W28" s="6"/>
      <c r="X28" s="6"/>
    </row>
    <row r="29" spans="1:26" x14ac:dyDescent="0.35">
      <c r="A29" s="23">
        <v>28</v>
      </c>
      <c r="B29" s="25">
        <v>197627</v>
      </c>
      <c r="C29" s="25">
        <v>78182</v>
      </c>
      <c r="D29" s="25">
        <v>24529</v>
      </c>
      <c r="E29" s="25">
        <v>53560</v>
      </c>
      <c r="F29" s="25">
        <v>41356</v>
      </c>
      <c r="G29" s="26">
        <f t="shared" si="0"/>
        <v>0.39560383955633593</v>
      </c>
      <c r="H29" s="25">
        <v>197841.4</v>
      </c>
      <c r="I29" s="25">
        <v>78236.37</v>
      </c>
      <c r="J29" s="25">
        <v>24596.65</v>
      </c>
      <c r="K29" s="25">
        <v>53649.5</v>
      </c>
      <c r="L29" s="25">
        <v>41358.839999999997</v>
      </c>
      <c r="M29" s="25">
        <v>214.3665</v>
      </c>
      <c r="N29" s="25">
        <v>54.372210000000003</v>
      </c>
      <c r="O29" s="25">
        <v>67.653869999999998</v>
      </c>
      <c r="P29" s="25">
        <v>89.495900000000006</v>
      </c>
      <c r="Q29" s="25">
        <v>2.8442080000000001</v>
      </c>
      <c r="R29" s="24">
        <f>COUNTIFS(H29,"&lt;=" &amp; housesum!$B$4 )</f>
        <v>0</v>
      </c>
      <c r="S29" s="24">
        <f>COUNTIFS(H29,"&gt;=" &amp; housesum!$B$5 )</f>
        <v>0</v>
      </c>
      <c r="U29" s="6"/>
      <c r="V29" s="6"/>
      <c r="W29" s="6"/>
      <c r="X29" s="6"/>
    </row>
    <row r="30" spans="1:26" x14ac:dyDescent="0.35">
      <c r="A30" s="23">
        <v>29</v>
      </c>
      <c r="B30" s="25">
        <v>185176</v>
      </c>
      <c r="C30" s="25">
        <v>81408</v>
      </c>
      <c r="D30" s="25">
        <v>23959</v>
      </c>
      <c r="E30" s="25">
        <v>59488</v>
      </c>
      <c r="F30" s="25">
        <v>20321</v>
      </c>
      <c r="G30" s="26">
        <f t="shared" si="0"/>
        <v>0.43962500540026783</v>
      </c>
      <c r="H30" s="25">
        <v>185837.3</v>
      </c>
      <c r="I30" s="25">
        <v>81694.710000000006</v>
      </c>
      <c r="J30" s="25">
        <v>24138.2</v>
      </c>
      <c r="K30" s="25">
        <v>59677.95</v>
      </c>
      <c r="L30" s="25">
        <v>20326.47</v>
      </c>
      <c r="M30" s="25">
        <v>661.3356</v>
      </c>
      <c r="N30" s="25">
        <v>286.71109999999999</v>
      </c>
      <c r="O30" s="25">
        <v>179.19640000000001</v>
      </c>
      <c r="P30" s="25">
        <v>189.9547</v>
      </c>
      <c r="Q30" s="25">
        <v>5.4732279999999998</v>
      </c>
      <c r="R30" s="24">
        <f>COUNTIFS(H30,"&lt;=" &amp; housesum!$B$4 )</f>
        <v>0</v>
      </c>
      <c r="S30" s="24">
        <f>COUNTIFS(H30,"&gt;=" &amp; housesum!$B$5 )</f>
        <v>0</v>
      </c>
      <c r="T30" s="11"/>
    </row>
    <row r="31" spans="1:26" x14ac:dyDescent="0.35">
      <c r="A31" s="23">
        <v>30</v>
      </c>
      <c r="B31" s="25">
        <v>189735</v>
      </c>
      <c r="C31" s="25">
        <v>92859</v>
      </c>
      <c r="D31" s="25">
        <v>14214</v>
      </c>
      <c r="E31" s="25">
        <v>76329</v>
      </c>
      <c r="F31" s="25">
        <v>6333</v>
      </c>
      <c r="G31" s="26">
        <f t="shared" si="0"/>
        <v>0.48941418293936279</v>
      </c>
      <c r="H31" s="25">
        <v>190187</v>
      </c>
      <c r="I31" s="25">
        <v>93027</v>
      </c>
      <c r="J31" s="25">
        <v>14329</v>
      </c>
      <c r="K31" s="25">
        <v>76499</v>
      </c>
      <c r="L31" s="25">
        <v>6332</v>
      </c>
      <c r="M31" s="25">
        <v>451.99959999999999</v>
      </c>
      <c r="N31" s="25">
        <v>167.99979999999999</v>
      </c>
      <c r="O31" s="25">
        <v>115.0001</v>
      </c>
      <c r="P31" s="25">
        <v>170</v>
      </c>
      <c r="Q31" s="25">
        <v>-0.99998160000000003</v>
      </c>
      <c r="R31" s="24">
        <f>COUNTIFS(H31,"&lt;=" &amp; housesum!$B$4 )</f>
        <v>0</v>
      </c>
      <c r="S31" s="24">
        <f>COUNTIFS(H31,"&gt;=" &amp; housesum!$B$5 )</f>
        <v>0</v>
      </c>
      <c r="T31" s="11"/>
    </row>
    <row r="32" spans="1:26" s="3" customFormat="1" x14ac:dyDescent="0.35">
      <c r="A32" s="23">
        <v>31</v>
      </c>
      <c r="B32" s="25">
        <v>184966</v>
      </c>
      <c r="C32" s="25">
        <v>45168</v>
      </c>
      <c r="D32" s="25">
        <v>2844</v>
      </c>
      <c r="E32" s="25">
        <v>133026</v>
      </c>
      <c r="F32" s="25">
        <v>3928</v>
      </c>
      <c r="G32" s="26">
        <f t="shared" si="0"/>
        <v>0.24419623065860752</v>
      </c>
      <c r="H32" s="25">
        <v>182527</v>
      </c>
      <c r="I32" s="25">
        <v>44446</v>
      </c>
      <c r="J32" s="25">
        <v>1903</v>
      </c>
      <c r="K32" s="25">
        <v>132267</v>
      </c>
      <c r="L32" s="25">
        <v>3911</v>
      </c>
      <c r="M32" s="25">
        <v>-2439</v>
      </c>
      <c r="N32" s="25">
        <v>-722.00019999999995</v>
      </c>
      <c r="O32" s="25">
        <v>-941</v>
      </c>
      <c r="P32" s="25">
        <v>-759.00030000000004</v>
      </c>
      <c r="Q32" s="25">
        <v>-17</v>
      </c>
      <c r="R32" s="24">
        <f>COUNTIFS(H32,"&lt;=" &amp; housesum!$B$4 )</f>
        <v>1</v>
      </c>
      <c r="S32" s="24">
        <f>COUNTIFS(H32,"&gt;=" &amp; housesum!$B$5 )</f>
        <v>0</v>
      </c>
      <c r="T32" s="11"/>
    </row>
    <row r="33" spans="1:20" x14ac:dyDescent="0.35">
      <c r="A33" s="23">
        <v>32</v>
      </c>
      <c r="B33" s="25">
        <v>187448</v>
      </c>
      <c r="C33" s="25">
        <v>83763</v>
      </c>
      <c r="D33" s="25">
        <v>7783</v>
      </c>
      <c r="E33" s="25">
        <v>82996</v>
      </c>
      <c r="F33" s="25">
        <v>12906</v>
      </c>
      <c r="G33" s="26">
        <f t="shared" si="0"/>
        <v>0.44685992915368528</v>
      </c>
      <c r="H33" s="25">
        <v>188530.2</v>
      </c>
      <c r="I33" s="25">
        <v>84125.08</v>
      </c>
      <c r="J33" s="25">
        <v>7902.2250000000004</v>
      </c>
      <c r="K33" s="25">
        <v>83592.53</v>
      </c>
      <c r="L33" s="25">
        <v>12910.39</v>
      </c>
      <c r="M33" s="25">
        <v>1082.2370000000001</v>
      </c>
      <c r="N33" s="25">
        <v>362.08440000000002</v>
      </c>
      <c r="O33" s="25">
        <v>119.22490000000001</v>
      </c>
      <c r="P33" s="25">
        <v>596.53290000000004</v>
      </c>
      <c r="Q33" s="25">
        <v>4.394882</v>
      </c>
      <c r="R33" s="24">
        <f>COUNTIFS(H33,"&lt;=" &amp; housesum!$B$4 )</f>
        <v>0</v>
      </c>
      <c r="S33" s="24">
        <f>COUNTIFS(H33,"&gt;=" &amp; housesum!$B$5 )</f>
        <v>0</v>
      </c>
      <c r="T33" s="11"/>
    </row>
    <row r="34" spans="1:20" x14ac:dyDescent="0.35">
      <c r="A34" s="23">
        <v>33</v>
      </c>
      <c r="B34" s="25">
        <v>190539</v>
      </c>
      <c r="C34" s="25">
        <v>107824</v>
      </c>
      <c r="D34" s="25">
        <v>19823</v>
      </c>
      <c r="E34" s="25">
        <v>35377</v>
      </c>
      <c r="F34" s="25">
        <v>27515</v>
      </c>
      <c r="G34" s="26">
        <f t="shared" si="0"/>
        <v>0.565889397971019</v>
      </c>
      <c r="H34" s="25">
        <v>191097.2</v>
      </c>
      <c r="I34" s="25">
        <v>108108.6</v>
      </c>
      <c r="J34" s="25">
        <v>19967.57</v>
      </c>
      <c r="K34" s="25">
        <v>35496.400000000001</v>
      </c>
      <c r="L34" s="25">
        <v>27524.65</v>
      </c>
      <c r="M34" s="25">
        <v>558.17740000000003</v>
      </c>
      <c r="N34" s="25">
        <v>284.55169999999998</v>
      </c>
      <c r="O34" s="25">
        <v>144.57230000000001</v>
      </c>
      <c r="P34" s="25">
        <v>119.40260000000001</v>
      </c>
      <c r="Q34" s="25">
        <v>9.6510850000000001</v>
      </c>
      <c r="R34" s="24">
        <f>COUNTIFS(H34,"&lt;=" &amp; housesum!$B$4 )</f>
        <v>0</v>
      </c>
      <c r="S34" s="24">
        <f>COUNTIFS(H34,"&gt;=" &amp; housesum!$B$5 )</f>
        <v>0</v>
      </c>
      <c r="T34" s="11"/>
    </row>
    <row r="35" spans="1:20" x14ac:dyDescent="0.35">
      <c r="A35" s="23">
        <v>34</v>
      </c>
      <c r="B35" s="25">
        <v>189560</v>
      </c>
      <c r="C35" s="25">
        <v>38218</v>
      </c>
      <c r="D35" s="25">
        <v>6973</v>
      </c>
      <c r="E35" s="25">
        <v>140214</v>
      </c>
      <c r="F35" s="25">
        <v>4155</v>
      </c>
      <c r="G35" s="26">
        <f t="shared" si="0"/>
        <v>0.2016142646127875</v>
      </c>
      <c r="H35" s="25">
        <v>190785.8</v>
      </c>
      <c r="I35" s="25">
        <v>38369.910000000003</v>
      </c>
      <c r="J35" s="25">
        <v>7080.7749999999996</v>
      </c>
      <c r="K35" s="25">
        <v>141178.5</v>
      </c>
      <c r="L35" s="25">
        <v>4156.6049999999996</v>
      </c>
      <c r="M35" s="25">
        <v>1225.76</v>
      </c>
      <c r="N35" s="25">
        <v>151.9135</v>
      </c>
      <c r="O35" s="25">
        <v>107.7752</v>
      </c>
      <c r="P35" s="25">
        <v>964.46720000000005</v>
      </c>
      <c r="Q35" s="25">
        <v>1.6048439999999999</v>
      </c>
      <c r="R35" s="24">
        <f>COUNTIFS(H35,"&lt;=" &amp; housesum!$B$4 )</f>
        <v>0</v>
      </c>
      <c r="S35" s="24">
        <f>COUNTIFS(H35,"&gt;=" &amp; housesum!$B$5 )</f>
        <v>0</v>
      </c>
      <c r="T35" s="11"/>
    </row>
    <row r="36" spans="1:20" x14ac:dyDescent="0.35">
      <c r="A36" s="23">
        <v>35</v>
      </c>
      <c r="B36" s="25">
        <v>193328</v>
      </c>
      <c r="C36" s="25">
        <v>8290</v>
      </c>
      <c r="D36" s="25">
        <v>356</v>
      </c>
      <c r="E36" s="25">
        <v>183468</v>
      </c>
      <c r="F36" s="25">
        <v>1214</v>
      </c>
      <c r="G36" s="26">
        <f t="shared" si="0"/>
        <v>4.2880493254986343E-2</v>
      </c>
      <c r="H36" s="25">
        <v>193965.9</v>
      </c>
      <c r="I36" s="25">
        <v>8309.9830000000002</v>
      </c>
      <c r="J36" s="25">
        <v>358.04919999999998</v>
      </c>
      <c r="K36" s="25">
        <v>184083.5</v>
      </c>
      <c r="L36" s="25">
        <v>1214.4269999999999</v>
      </c>
      <c r="M36" s="25">
        <v>637.92830000000004</v>
      </c>
      <c r="N36" s="25">
        <v>19.982900000000001</v>
      </c>
      <c r="O36" s="25">
        <v>2.0491860000000002</v>
      </c>
      <c r="P36" s="25">
        <v>615.46960000000001</v>
      </c>
      <c r="Q36" s="25">
        <v>0.42668400000000001</v>
      </c>
      <c r="R36" s="24">
        <f>COUNTIFS(H36,"&lt;=" &amp; housesum!$B$4 )</f>
        <v>0</v>
      </c>
      <c r="S36" s="24">
        <f>COUNTIFS(H36,"&gt;=" &amp; housesum!$B$5 )</f>
        <v>0</v>
      </c>
      <c r="T36" s="11"/>
    </row>
    <row r="37" spans="1:20" x14ac:dyDescent="0.35">
      <c r="A37" s="23">
        <v>36</v>
      </c>
      <c r="B37" s="25">
        <v>186731</v>
      </c>
      <c r="C37" s="25">
        <v>9878</v>
      </c>
      <c r="D37" s="25">
        <v>475</v>
      </c>
      <c r="E37" s="25">
        <v>174370</v>
      </c>
      <c r="F37" s="25">
        <v>2008</v>
      </c>
      <c r="G37" s="26">
        <f t="shared" si="0"/>
        <v>5.2899625664726266E-2</v>
      </c>
      <c r="H37" s="25">
        <v>187301.1</v>
      </c>
      <c r="I37" s="25">
        <v>9900.607</v>
      </c>
      <c r="J37" s="25">
        <v>476.94839999999999</v>
      </c>
      <c r="K37" s="25">
        <v>174914.5</v>
      </c>
      <c r="L37" s="25">
        <v>2009.039</v>
      </c>
      <c r="M37" s="25">
        <v>570.11329999999998</v>
      </c>
      <c r="N37" s="25">
        <v>22.6067</v>
      </c>
      <c r="O37" s="25">
        <v>1.9484410000000001</v>
      </c>
      <c r="P37" s="25">
        <v>544.51909999999998</v>
      </c>
      <c r="Q37" s="25">
        <v>1.0385880000000001</v>
      </c>
      <c r="R37" s="24">
        <f>COUNTIFS(H37,"&lt;=" &amp; housesum!$B$4 )</f>
        <v>0</v>
      </c>
      <c r="S37" s="24">
        <f>COUNTIFS(H37,"&gt;=" &amp; housesum!$B$5 )</f>
        <v>0</v>
      </c>
      <c r="T37" s="11"/>
    </row>
    <row r="38" spans="1:20" s="3" customFormat="1" x14ac:dyDescent="0.35">
      <c r="A38" s="23">
        <v>37</v>
      </c>
      <c r="B38" s="25">
        <v>184892</v>
      </c>
      <c r="C38" s="25">
        <v>26248</v>
      </c>
      <c r="D38" s="25">
        <v>1591</v>
      </c>
      <c r="E38" s="25">
        <v>153728</v>
      </c>
      <c r="F38" s="25">
        <v>3325</v>
      </c>
      <c r="G38" s="26">
        <f t="shared" si="0"/>
        <v>0.14196395733725634</v>
      </c>
      <c r="H38" s="25">
        <v>184492.5</v>
      </c>
      <c r="I38" s="25">
        <v>26094.92</v>
      </c>
      <c r="J38" s="25">
        <v>1320.16</v>
      </c>
      <c r="K38" s="25">
        <v>153755.9</v>
      </c>
      <c r="L38" s="25">
        <v>3321.56</v>
      </c>
      <c r="M38" s="25">
        <v>-399.5077</v>
      </c>
      <c r="N38" s="25">
        <v>-153.08070000000001</v>
      </c>
      <c r="O38" s="25">
        <v>-270.83969999999999</v>
      </c>
      <c r="P38" s="25">
        <v>27.8538</v>
      </c>
      <c r="Q38" s="25">
        <v>-3.4404530000000002</v>
      </c>
      <c r="R38" s="24">
        <f>COUNTIFS(H38,"&lt;=" &amp; housesum!$B$4 )</f>
        <v>1</v>
      </c>
      <c r="S38" s="24">
        <f>COUNTIFS(H38,"&gt;=" &amp; housesum!$B$5 )</f>
        <v>0</v>
      </c>
      <c r="T38" s="11"/>
    </row>
    <row r="39" spans="1:20" x14ac:dyDescent="0.35">
      <c r="A39" s="23">
        <v>38</v>
      </c>
      <c r="B39" s="25">
        <v>186152</v>
      </c>
      <c r="C39" s="25">
        <v>8533</v>
      </c>
      <c r="D39" s="25">
        <v>481</v>
      </c>
      <c r="E39" s="25">
        <v>175349</v>
      </c>
      <c r="F39" s="25">
        <v>1789</v>
      </c>
      <c r="G39" s="26">
        <f t="shared" si="0"/>
        <v>4.5838884352572093E-2</v>
      </c>
      <c r="H39" s="25">
        <v>186839.4</v>
      </c>
      <c r="I39" s="25">
        <v>8554.616</v>
      </c>
      <c r="J39" s="25">
        <v>484.47969999999998</v>
      </c>
      <c r="K39" s="25">
        <v>176011</v>
      </c>
      <c r="L39" s="25">
        <v>1789.329</v>
      </c>
      <c r="M39" s="25">
        <v>687.38229999999999</v>
      </c>
      <c r="N39" s="25">
        <v>21.615880000000001</v>
      </c>
      <c r="O39" s="25">
        <v>3.4797039999999999</v>
      </c>
      <c r="P39" s="25">
        <v>661.95820000000003</v>
      </c>
      <c r="Q39" s="25">
        <v>0.32928659999999998</v>
      </c>
      <c r="R39" s="24">
        <f>COUNTIFS(H39,"&lt;=" &amp; housesum!$B$4 )</f>
        <v>0</v>
      </c>
      <c r="S39" s="24">
        <f>COUNTIFS(H39,"&gt;=" &amp; housesum!$B$5 )</f>
        <v>0</v>
      </c>
      <c r="T39" s="11"/>
    </row>
    <row r="40" spans="1:20" x14ac:dyDescent="0.35">
      <c r="A40" s="23">
        <v>39</v>
      </c>
      <c r="B40" s="25">
        <v>186199</v>
      </c>
      <c r="C40" s="25">
        <v>11836</v>
      </c>
      <c r="D40" s="25">
        <v>369</v>
      </c>
      <c r="E40" s="25">
        <v>172547</v>
      </c>
      <c r="F40" s="25">
        <v>1447</v>
      </c>
      <c r="G40" s="26">
        <f t="shared" si="0"/>
        <v>6.3566399389900052E-2</v>
      </c>
      <c r="H40" s="25">
        <v>186767.2</v>
      </c>
      <c r="I40" s="25">
        <v>11863.09</v>
      </c>
      <c r="J40" s="25">
        <v>370.5136</v>
      </c>
      <c r="K40" s="25">
        <v>173085.8</v>
      </c>
      <c r="L40" s="25">
        <v>1447.748</v>
      </c>
      <c r="M40" s="25">
        <v>568.17600000000004</v>
      </c>
      <c r="N40" s="25">
        <v>27.087759999999999</v>
      </c>
      <c r="O40" s="25">
        <v>1.5136339999999999</v>
      </c>
      <c r="P40" s="25">
        <v>538.82579999999996</v>
      </c>
      <c r="Q40" s="25">
        <v>0.74843669999999995</v>
      </c>
      <c r="R40" s="24">
        <f>COUNTIFS(H40,"&lt;=" &amp; housesum!$B$4 )</f>
        <v>0</v>
      </c>
      <c r="S40" s="24">
        <f>COUNTIFS(H40,"&gt;=" &amp; housesum!$B$5 )</f>
        <v>0</v>
      </c>
      <c r="T40" s="11"/>
    </row>
    <row r="41" spans="1:20" x14ac:dyDescent="0.35">
      <c r="A41" s="23">
        <v>40</v>
      </c>
      <c r="B41" s="25">
        <v>185455</v>
      </c>
      <c r="C41" s="25">
        <v>8787</v>
      </c>
      <c r="D41" s="25">
        <v>1483</v>
      </c>
      <c r="E41" s="25">
        <v>171985</v>
      </c>
      <c r="F41" s="25">
        <v>3200</v>
      </c>
      <c r="G41" s="26">
        <f t="shared" si="0"/>
        <v>4.7380766223612196E-2</v>
      </c>
      <c r="H41" s="25">
        <v>184018.6</v>
      </c>
      <c r="I41" s="25">
        <v>8339.0409999999993</v>
      </c>
      <c r="J41" s="25">
        <v>1004.102</v>
      </c>
      <c r="K41" s="25">
        <v>171485.8</v>
      </c>
      <c r="L41" s="25">
        <v>3189.6489999999999</v>
      </c>
      <c r="M41" s="25">
        <v>-1436.3620000000001</v>
      </c>
      <c r="N41" s="25">
        <v>-447.95890000000003</v>
      </c>
      <c r="O41" s="25">
        <v>-478.89800000000002</v>
      </c>
      <c r="P41" s="25">
        <v>-499.15449999999998</v>
      </c>
      <c r="Q41" s="25">
        <v>-10.351100000000001</v>
      </c>
      <c r="R41" s="24">
        <f>COUNTIFS(H41,"&lt;=" &amp; housesum!$B$4 )</f>
        <v>1</v>
      </c>
      <c r="S41" s="24">
        <f>COUNTIFS(H41,"&gt;=" &amp; housesum!$B$5 )</f>
        <v>0</v>
      </c>
      <c r="T41" s="11"/>
    </row>
    <row r="42" spans="1:20" x14ac:dyDescent="0.35">
      <c r="A42" s="23">
        <v>41</v>
      </c>
      <c r="B42" s="25">
        <v>189205</v>
      </c>
      <c r="C42" s="25">
        <v>18678</v>
      </c>
      <c r="D42" s="25">
        <v>1401</v>
      </c>
      <c r="E42" s="25">
        <v>162845</v>
      </c>
      <c r="F42" s="25">
        <v>6281</v>
      </c>
      <c r="G42" s="26">
        <f t="shared" si="0"/>
        <v>9.8718321397426076E-2</v>
      </c>
      <c r="H42" s="25">
        <v>189765.3</v>
      </c>
      <c r="I42" s="25">
        <v>18720.75</v>
      </c>
      <c r="J42" s="25">
        <v>1406.7470000000001</v>
      </c>
      <c r="K42" s="25">
        <v>163353.5</v>
      </c>
      <c r="L42" s="25">
        <v>6284.2489999999998</v>
      </c>
      <c r="M42" s="25">
        <v>560.27089999999998</v>
      </c>
      <c r="N42" s="25">
        <v>42.74633</v>
      </c>
      <c r="O42" s="25">
        <v>5.7468750000000002</v>
      </c>
      <c r="P42" s="25">
        <v>508.52879999999999</v>
      </c>
      <c r="Q42" s="25">
        <v>3.2486600000000001</v>
      </c>
      <c r="R42" s="24">
        <f>COUNTIFS(H42,"&lt;=" &amp; housesum!$B$4 )</f>
        <v>0</v>
      </c>
      <c r="S42" s="24">
        <f>COUNTIFS(H42,"&gt;=" &amp; housesum!$B$5 )</f>
        <v>0</v>
      </c>
      <c r="T42" s="11"/>
    </row>
    <row r="43" spans="1:20" x14ac:dyDescent="0.35">
      <c r="A43" s="23">
        <v>42</v>
      </c>
      <c r="B43" s="25">
        <v>184728</v>
      </c>
      <c r="C43" s="25">
        <v>6966</v>
      </c>
      <c r="D43" s="25">
        <v>699</v>
      </c>
      <c r="E43" s="25">
        <v>175074</v>
      </c>
      <c r="F43" s="25">
        <v>1989</v>
      </c>
      <c r="G43" s="26">
        <f t="shared" si="0"/>
        <v>3.7709497206703912E-2</v>
      </c>
      <c r="H43" s="25">
        <v>185094.2</v>
      </c>
      <c r="I43" s="25">
        <v>6979.2060000000001</v>
      </c>
      <c r="J43" s="25">
        <v>703.68600000000004</v>
      </c>
      <c r="K43" s="25">
        <v>175422.3</v>
      </c>
      <c r="L43" s="25">
        <v>1989</v>
      </c>
      <c r="M43" s="25">
        <v>366.17500000000001</v>
      </c>
      <c r="N43" s="25">
        <v>13.20576</v>
      </c>
      <c r="O43" s="25">
        <v>4.6860160000000004</v>
      </c>
      <c r="P43" s="25">
        <v>348.28379999999999</v>
      </c>
      <c r="Q43" s="25">
        <v>0</v>
      </c>
      <c r="R43" s="24">
        <f>COUNTIFS(H43,"&lt;=" &amp; housesum!$B$4 )</f>
        <v>0</v>
      </c>
      <c r="S43" s="24">
        <f>COUNTIFS(H43,"&gt;=" &amp; housesum!$B$5 )</f>
        <v>0</v>
      </c>
      <c r="T43" s="11"/>
    </row>
    <row r="44" spans="1:20" x14ac:dyDescent="0.35">
      <c r="A44" s="23">
        <v>43</v>
      </c>
      <c r="B44" s="25">
        <v>196580</v>
      </c>
      <c r="C44" s="25">
        <v>60142</v>
      </c>
      <c r="D44" s="25">
        <v>5858</v>
      </c>
      <c r="E44" s="25">
        <v>123531</v>
      </c>
      <c r="F44" s="25">
        <v>7049</v>
      </c>
      <c r="G44" s="26">
        <f t="shared" si="0"/>
        <v>0.30594160138366061</v>
      </c>
      <c r="H44" s="25">
        <v>190621</v>
      </c>
      <c r="I44" s="25">
        <v>58986</v>
      </c>
      <c r="J44" s="25">
        <v>4140</v>
      </c>
      <c r="K44" s="25">
        <v>120475</v>
      </c>
      <c r="L44" s="25">
        <v>7020</v>
      </c>
      <c r="M44" s="25">
        <v>-5959</v>
      </c>
      <c r="N44" s="25">
        <v>-1156</v>
      </c>
      <c r="O44" s="25">
        <v>-1718</v>
      </c>
      <c r="P44" s="25">
        <v>-3056</v>
      </c>
      <c r="Q44" s="25">
        <v>-28.999980000000001</v>
      </c>
      <c r="R44" s="24">
        <f>COUNTIFS(H44,"&lt;=" &amp; housesum!$B$4 )</f>
        <v>0</v>
      </c>
      <c r="S44" s="24">
        <f>COUNTIFS(H44,"&gt;=" &amp; housesum!$B$5 )</f>
        <v>0</v>
      </c>
      <c r="T44" s="11"/>
    </row>
    <row r="45" spans="1:20" s="3" customFormat="1" x14ac:dyDescent="0.35">
      <c r="A45" s="23">
        <v>44</v>
      </c>
      <c r="B45" s="25">
        <v>192359</v>
      </c>
      <c r="C45" s="25">
        <v>92222</v>
      </c>
      <c r="D45" s="25">
        <v>15232</v>
      </c>
      <c r="E45" s="25">
        <v>75130</v>
      </c>
      <c r="F45" s="25">
        <v>9775</v>
      </c>
      <c r="G45" s="26">
        <f t="shared" si="0"/>
        <v>0.47942648901273138</v>
      </c>
      <c r="H45" s="25">
        <v>193313</v>
      </c>
      <c r="I45" s="25">
        <v>92517</v>
      </c>
      <c r="J45" s="25">
        <v>15369</v>
      </c>
      <c r="K45" s="25">
        <v>75645</v>
      </c>
      <c r="L45" s="25">
        <v>9782</v>
      </c>
      <c r="M45" s="25">
        <v>953.99959999999999</v>
      </c>
      <c r="N45" s="25">
        <v>294.99970000000002</v>
      </c>
      <c r="O45" s="25">
        <v>137</v>
      </c>
      <c r="P45" s="25">
        <v>515</v>
      </c>
      <c r="Q45" s="25">
        <v>6.9998339999999999</v>
      </c>
      <c r="R45" s="24">
        <f>COUNTIFS(H45,"&lt;=" &amp; housesum!$B$4 )</f>
        <v>0</v>
      </c>
      <c r="S45" s="24">
        <f>COUNTIFS(H45,"&gt;=" &amp; housesum!$B$5 )</f>
        <v>0</v>
      </c>
      <c r="T45" s="11"/>
    </row>
    <row r="46" spans="1:20" x14ac:dyDescent="0.35">
      <c r="A46" s="23">
        <v>45</v>
      </c>
      <c r="B46" s="25">
        <v>201407</v>
      </c>
      <c r="C46" s="25">
        <v>90224</v>
      </c>
      <c r="D46" s="25">
        <v>10665</v>
      </c>
      <c r="E46" s="25">
        <v>87199</v>
      </c>
      <c r="F46" s="25">
        <v>13319</v>
      </c>
      <c r="G46" s="26">
        <f t="shared" si="0"/>
        <v>0.44796854131187097</v>
      </c>
      <c r="H46" s="25">
        <v>201498.5</v>
      </c>
      <c r="I46" s="25">
        <v>90192.82</v>
      </c>
      <c r="J46" s="25">
        <v>10624.27</v>
      </c>
      <c r="K46" s="25">
        <v>87363.81</v>
      </c>
      <c r="L46" s="25">
        <v>13317.57</v>
      </c>
      <c r="M46" s="25">
        <v>91.484740000000002</v>
      </c>
      <c r="N46" s="25">
        <v>-31.175750000000001</v>
      </c>
      <c r="O46" s="25">
        <v>-40.726199999999999</v>
      </c>
      <c r="P46" s="25">
        <v>164.8142</v>
      </c>
      <c r="Q46" s="25">
        <v>-1.427581</v>
      </c>
      <c r="R46" s="24">
        <f>COUNTIFS(H46,"&lt;=" &amp; housesum!$B$4 )</f>
        <v>0</v>
      </c>
      <c r="S46" s="24">
        <f>COUNTIFS(H46,"&gt;=" &amp; housesum!$B$5 )</f>
        <v>0</v>
      </c>
      <c r="T46" s="11"/>
    </row>
    <row r="47" spans="1:20" x14ac:dyDescent="0.35">
      <c r="A47" s="23">
        <v>46</v>
      </c>
      <c r="B47" s="25">
        <v>203324</v>
      </c>
      <c r="C47" s="25">
        <v>71385</v>
      </c>
      <c r="D47" s="25">
        <v>37351</v>
      </c>
      <c r="E47" s="25">
        <v>75885</v>
      </c>
      <c r="F47" s="25">
        <v>18703</v>
      </c>
      <c r="G47" s="26">
        <f t="shared" si="0"/>
        <v>0.35108988609313213</v>
      </c>
      <c r="H47" s="25">
        <v>203168</v>
      </c>
      <c r="I47" s="25">
        <v>71118.320000000007</v>
      </c>
      <c r="J47" s="25">
        <v>37468.75</v>
      </c>
      <c r="K47" s="25">
        <v>75881.509999999995</v>
      </c>
      <c r="L47" s="25">
        <v>18699.419999999998</v>
      </c>
      <c r="M47" s="25">
        <v>-156.00110000000001</v>
      </c>
      <c r="N47" s="25">
        <v>-266.6782</v>
      </c>
      <c r="O47" s="25">
        <v>117.7487</v>
      </c>
      <c r="P47" s="25">
        <v>-3.4874049999999999</v>
      </c>
      <c r="Q47" s="25">
        <v>-3.5843159999999998</v>
      </c>
      <c r="R47" s="24">
        <f>COUNTIFS(H47,"&lt;=" &amp; housesum!$B$4 )</f>
        <v>0</v>
      </c>
      <c r="S47" s="24">
        <f>COUNTIFS(H47,"&gt;=" &amp; housesum!$B$5 )</f>
        <v>0</v>
      </c>
      <c r="T47" s="11"/>
    </row>
    <row r="48" spans="1:20" x14ac:dyDescent="0.35">
      <c r="A48" s="23">
        <v>47</v>
      </c>
      <c r="B48" s="25">
        <v>203643</v>
      </c>
      <c r="C48" s="25">
        <v>126470</v>
      </c>
      <c r="D48" s="25">
        <v>7304</v>
      </c>
      <c r="E48" s="25">
        <v>32373</v>
      </c>
      <c r="F48" s="25">
        <v>37496</v>
      </c>
      <c r="G48" s="26">
        <f t="shared" si="0"/>
        <v>0.62103779653609503</v>
      </c>
      <c r="H48" s="25">
        <v>204005.4</v>
      </c>
      <c r="I48" s="25">
        <v>126639.7</v>
      </c>
      <c r="J48" s="25">
        <v>7384.5590000000002</v>
      </c>
      <c r="K48" s="25">
        <v>32480.23</v>
      </c>
      <c r="L48" s="25">
        <v>37500.839999999997</v>
      </c>
      <c r="M48" s="25">
        <v>362.37049999999999</v>
      </c>
      <c r="N48" s="25">
        <v>169.73849999999999</v>
      </c>
      <c r="O48" s="25">
        <v>80.558530000000005</v>
      </c>
      <c r="P48" s="25">
        <v>107.2291</v>
      </c>
      <c r="Q48" s="25">
        <v>4.844392</v>
      </c>
      <c r="R48" s="24">
        <f>COUNTIFS(H48,"&lt;=" &amp; housesum!$B$4 )</f>
        <v>0</v>
      </c>
      <c r="S48" s="24">
        <f>COUNTIFS(H48,"&gt;=" &amp; housesum!$B$5 )</f>
        <v>0</v>
      </c>
      <c r="T48" s="11"/>
    </row>
    <row r="49" spans="1:24" x14ac:dyDescent="0.35">
      <c r="A49" s="23">
        <v>48</v>
      </c>
      <c r="B49" s="25">
        <v>202586</v>
      </c>
      <c r="C49" s="25">
        <v>121948</v>
      </c>
      <c r="D49" s="25">
        <v>8993</v>
      </c>
      <c r="E49" s="25">
        <v>49857</v>
      </c>
      <c r="F49" s="25">
        <v>21788</v>
      </c>
      <c r="G49" s="26">
        <f t="shared" si="0"/>
        <v>0.60195669987067224</v>
      </c>
      <c r="H49" s="25">
        <v>203016.8</v>
      </c>
      <c r="I49" s="25">
        <v>122111.7</v>
      </c>
      <c r="J49" s="25">
        <v>9092.1869999999999</v>
      </c>
      <c r="K49" s="25">
        <v>50022.14</v>
      </c>
      <c r="L49" s="25">
        <v>21790.82</v>
      </c>
      <c r="M49" s="25">
        <v>430.81270000000001</v>
      </c>
      <c r="N49" s="25">
        <v>163.66909999999999</v>
      </c>
      <c r="O49" s="25">
        <v>99.187190000000001</v>
      </c>
      <c r="P49" s="25">
        <v>165.1414</v>
      </c>
      <c r="Q49" s="25">
        <v>2.8150249999999999</v>
      </c>
      <c r="R49" s="24">
        <f>COUNTIFS(H49,"&lt;=" &amp; housesum!$B$4 )</f>
        <v>0</v>
      </c>
      <c r="S49" s="24">
        <f>COUNTIFS(H49,"&gt;=" &amp; housesum!$B$5 )</f>
        <v>0</v>
      </c>
      <c r="T49" s="11"/>
    </row>
    <row r="50" spans="1:24" x14ac:dyDescent="0.35">
      <c r="A50" s="23">
        <v>49</v>
      </c>
      <c r="B50" s="25">
        <v>203558</v>
      </c>
      <c r="C50" s="25">
        <v>116215</v>
      </c>
      <c r="D50" s="25">
        <v>9157</v>
      </c>
      <c r="E50" s="25">
        <v>54151</v>
      </c>
      <c r="F50" s="25">
        <v>24035</v>
      </c>
      <c r="G50" s="26">
        <f t="shared" si="0"/>
        <v>0.57091836233407678</v>
      </c>
      <c r="H50" s="25">
        <v>203997.4</v>
      </c>
      <c r="I50" s="25">
        <v>116371</v>
      </c>
      <c r="J50" s="25">
        <v>9257.9959999999992</v>
      </c>
      <c r="K50" s="25">
        <v>54330.36</v>
      </c>
      <c r="L50" s="25">
        <v>24038.11</v>
      </c>
      <c r="M50" s="25">
        <v>439.44049999999999</v>
      </c>
      <c r="N50" s="25">
        <v>155.97489999999999</v>
      </c>
      <c r="O50" s="25">
        <v>100.996</v>
      </c>
      <c r="P50" s="25">
        <v>179.36449999999999</v>
      </c>
      <c r="Q50" s="25">
        <v>3.1053359999999999</v>
      </c>
      <c r="R50" s="24">
        <f>COUNTIFS(H50,"&lt;=" &amp; housesum!$B$4 )</f>
        <v>0</v>
      </c>
      <c r="S50" s="24">
        <f>COUNTIFS(H50,"&gt;=" &amp; housesum!$B$5 )</f>
        <v>0</v>
      </c>
      <c r="T50" s="11"/>
    </row>
    <row r="51" spans="1:24" x14ac:dyDescent="0.35">
      <c r="A51" s="23">
        <v>50</v>
      </c>
      <c r="B51" s="25">
        <v>202082</v>
      </c>
      <c r="C51" s="25">
        <v>61970</v>
      </c>
      <c r="D51" s="25">
        <v>27435</v>
      </c>
      <c r="E51" s="25">
        <v>87188</v>
      </c>
      <c r="F51" s="25">
        <v>25489</v>
      </c>
      <c r="G51" s="26">
        <f t="shared" si="0"/>
        <v>0.30665769341158539</v>
      </c>
      <c r="H51" s="25">
        <v>202759.8</v>
      </c>
      <c r="I51" s="25">
        <v>62053.17</v>
      </c>
      <c r="J51" s="25">
        <v>27737.59</v>
      </c>
      <c r="K51" s="25">
        <v>87476.79</v>
      </c>
      <c r="L51" s="25">
        <v>25492.29</v>
      </c>
      <c r="M51" s="25">
        <v>677.84760000000006</v>
      </c>
      <c r="N51" s="25">
        <v>83.171409999999995</v>
      </c>
      <c r="O51" s="25">
        <v>302.59089999999998</v>
      </c>
      <c r="P51" s="25">
        <v>288.79239999999999</v>
      </c>
      <c r="Q51" s="25">
        <v>3.2930760000000001</v>
      </c>
      <c r="R51" s="24">
        <f>COUNTIFS(H51,"&lt;=" &amp; housesum!$B$4 )</f>
        <v>0</v>
      </c>
      <c r="S51" s="24">
        <f>COUNTIFS(H51,"&gt;=" &amp; housesum!$B$5 )</f>
        <v>0</v>
      </c>
      <c r="T51" s="11"/>
    </row>
    <row r="52" spans="1:24" x14ac:dyDescent="0.35">
      <c r="A52" s="23">
        <v>51</v>
      </c>
      <c r="B52" s="25">
        <v>203508</v>
      </c>
      <c r="C52" s="25">
        <v>62134</v>
      </c>
      <c r="D52" s="25">
        <v>17199</v>
      </c>
      <c r="E52" s="25">
        <v>112262</v>
      </c>
      <c r="F52" s="25">
        <v>11913</v>
      </c>
      <c r="G52" s="26">
        <f t="shared" si="0"/>
        <v>0.30531477878019536</v>
      </c>
      <c r="H52" s="25">
        <v>204154.5</v>
      </c>
      <c r="I52" s="25">
        <v>62217.39</v>
      </c>
      <c r="J52" s="25">
        <v>17388.689999999999</v>
      </c>
      <c r="K52" s="25">
        <v>112633.8</v>
      </c>
      <c r="L52" s="25">
        <v>11914.54</v>
      </c>
      <c r="M52" s="25">
        <v>646.47029999999995</v>
      </c>
      <c r="N52" s="25">
        <v>83.391670000000005</v>
      </c>
      <c r="O52" s="25">
        <v>189.6943</v>
      </c>
      <c r="P52" s="25">
        <v>371.84530000000001</v>
      </c>
      <c r="Q52" s="25">
        <v>1.539183</v>
      </c>
      <c r="R52" s="24">
        <f>COUNTIFS(H52,"&lt;=" &amp; housesum!$B$4 )</f>
        <v>0</v>
      </c>
      <c r="S52" s="24">
        <f>COUNTIFS(H52,"&gt;=" &amp; housesum!$B$5 )</f>
        <v>1</v>
      </c>
      <c r="T52" s="11"/>
    </row>
    <row r="53" spans="1:24" x14ac:dyDescent="0.35">
      <c r="A53" s="23">
        <v>52</v>
      </c>
      <c r="B53" s="25">
        <v>201532</v>
      </c>
      <c r="C53" s="25">
        <v>108733</v>
      </c>
      <c r="D53" s="25">
        <v>16809</v>
      </c>
      <c r="E53" s="25">
        <v>50901</v>
      </c>
      <c r="F53" s="25">
        <v>25089</v>
      </c>
      <c r="G53" s="26">
        <f t="shared" si="0"/>
        <v>0.53953218347458465</v>
      </c>
      <c r="H53" s="25">
        <v>201895.1</v>
      </c>
      <c r="I53" s="25">
        <v>108907.9</v>
      </c>
      <c r="J53" s="25">
        <v>16884.599999999999</v>
      </c>
      <c r="K53" s="25">
        <v>51012.08</v>
      </c>
      <c r="L53" s="25">
        <v>25090.58</v>
      </c>
      <c r="M53" s="25">
        <v>363.1266</v>
      </c>
      <c r="N53" s="25">
        <v>174.8596</v>
      </c>
      <c r="O53" s="25">
        <v>75.604439999999997</v>
      </c>
      <c r="P53" s="25">
        <v>111.08459999999999</v>
      </c>
      <c r="Q53" s="25">
        <v>1.5780510000000001</v>
      </c>
      <c r="R53" s="24">
        <f>COUNTIFS(H53,"&lt;=" &amp; housesum!$B$4 )</f>
        <v>0</v>
      </c>
      <c r="S53" s="24">
        <f>COUNTIFS(H53,"&gt;=" &amp; housesum!$B$5 )</f>
        <v>0</v>
      </c>
      <c r="T53" s="11"/>
    </row>
    <row r="54" spans="1:24" x14ac:dyDescent="0.35">
      <c r="A54" s="23">
        <v>53</v>
      </c>
      <c r="B54" s="25">
        <v>199548</v>
      </c>
      <c r="C54" s="25">
        <v>115565</v>
      </c>
      <c r="D54" s="25">
        <v>3833</v>
      </c>
      <c r="E54" s="25">
        <v>72969</v>
      </c>
      <c r="F54" s="25">
        <v>7181</v>
      </c>
      <c r="G54" s="26">
        <f t="shared" si="0"/>
        <v>0.57913384248401389</v>
      </c>
      <c r="H54" s="25">
        <v>197490</v>
      </c>
      <c r="I54" s="25">
        <v>115437</v>
      </c>
      <c r="J54" s="25">
        <v>2938</v>
      </c>
      <c r="K54" s="25">
        <v>71954</v>
      </c>
      <c r="L54" s="25">
        <v>7161</v>
      </c>
      <c r="M54" s="25">
        <v>-2058</v>
      </c>
      <c r="N54" s="25">
        <v>-127.9999</v>
      </c>
      <c r="O54" s="25">
        <v>-895</v>
      </c>
      <c r="P54" s="25">
        <v>-1015</v>
      </c>
      <c r="Q54" s="25">
        <v>-19.999960000000002</v>
      </c>
      <c r="R54" s="24">
        <f>COUNTIFS(H54,"&lt;=" &amp; housesum!$B$4 )</f>
        <v>0</v>
      </c>
      <c r="S54" s="24">
        <f>COUNTIFS(H54,"&gt;=" &amp; housesum!$B$5 )</f>
        <v>0</v>
      </c>
      <c r="T54" s="11"/>
    </row>
    <row r="55" spans="1:24" x14ac:dyDescent="0.35">
      <c r="A55" s="23">
        <v>54</v>
      </c>
      <c r="B55" s="25">
        <v>185290</v>
      </c>
      <c r="C55" s="25">
        <v>71769</v>
      </c>
      <c r="D55" s="25">
        <v>52899</v>
      </c>
      <c r="E55" s="25">
        <v>45733</v>
      </c>
      <c r="F55" s="25">
        <v>14889</v>
      </c>
      <c r="G55" s="26">
        <f t="shared" si="0"/>
        <v>0.38733336931296886</v>
      </c>
      <c r="H55" s="25">
        <v>186220.4</v>
      </c>
      <c r="I55" s="25">
        <v>72053.73</v>
      </c>
      <c r="J55" s="25">
        <v>53406.21</v>
      </c>
      <c r="K55" s="25">
        <v>45861.2</v>
      </c>
      <c r="L55" s="25">
        <v>14899.29</v>
      </c>
      <c r="M55" s="25">
        <v>930.4298</v>
      </c>
      <c r="N55" s="25">
        <v>284.73360000000002</v>
      </c>
      <c r="O55" s="25">
        <v>507.209</v>
      </c>
      <c r="P55" s="25">
        <v>128.19550000000001</v>
      </c>
      <c r="Q55" s="25">
        <v>10.29152</v>
      </c>
      <c r="R55" s="24">
        <f>COUNTIFS(H55,"&lt;=" &amp; housesum!$B$4 )</f>
        <v>0</v>
      </c>
      <c r="S55" s="24">
        <f>COUNTIFS(H55,"&gt;=" &amp; housesum!$B$5 )</f>
        <v>0</v>
      </c>
      <c r="T55" s="11"/>
    </row>
    <row r="56" spans="1:24" x14ac:dyDescent="0.35">
      <c r="A56" s="23">
        <v>55</v>
      </c>
      <c r="B56" s="25">
        <v>185357</v>
      </c>
      <c r="C56" s="25">
        <v>85011</v>
      </c>
      <c r="D56" s="25">
        <v>38567</v>
      </c>
      <c r="E56" s="25">
        <v>47734</v>
      </c>
      <c r="F56" s="25">
        <v>14045</v>
      </c>
      <c r="G56" s="26">
        <f t="shared" si="0"/>
        <v>0.45863387948661233</v>
      </c>
      <c r="H56" s="25">
        <v>186207.6</v>
      </c>
      <c r="I56" s="25">
        <v>85348.27</v>
      </c>
      <c r="J56" s="25">
        <v>38936.79</v>
      </c>
      <c r="K56" s="25">
        <v>47867.8</v>
      </c>
      <c r="L56" s="25">
        <v>14054.71</v>
      </c>
      <c r="M56" s="25">
        <v>850.57219999999995</v>
      </c>
      <c r="N56" s="25">
        <v>337.26949999999999</v>
      </c>
      <c r="O56" s="25">
        <v>369.7901</v>
      </c>
      <c r="P56" s="25">
        <v>133.80449999999999</v>
      </c>
      <c r="Q56" s="25">
        <v>9.7081189999999999</v>
      </c>
      <c r="R56" s="24">
        <f>COUNTIFS(H56,"&lt;=" &amp; housesum!$B$4 )</f>
        <v>0</v>
      </c>
      <c r="S56" s="24">
        <f>COUNTIFS(H56,"&gt;=" &amp; housesum!$B$5 )</f>
        <v>0</v>
      </c>
      <c r="T56" s="11"/>
      <c r="U56" s="4"/>
      <c r="V56" s="14"/>
      <c r="W56" s="11"/>
      <c r="X56" s="11"/>
    </row>
    <row r="57" spans="1:24" x14ac:dyDescent="0.35">
      <c r="A57" s="23">
        <v>56</v>
      </c>
      <c r="B57" s="25">
        <v>199975</v>
      </c>
      <c r="C57" s="25">
        <v>119341</v>
      </c>
      <c r="D57" s="25">
        <v>22265</v>
      </c>
      <c r="E57" s="25">
        <v>47594</v>
      </c>
      <c r="F57" s="25">
        <v>10775</v>
      </c>
      <c r="G57" s="26">
        <f t="shared" si="0"/>
        <v>0.59677959744968123</v>
      </c>
      <c r="H57" s="25">
        <v>201967.9</v>
      </c>
      <c r="I57" s="25">
        <v>120225.2</v>
      </c>
      <c r="J57" s="25">
        <v>22916</v>
      </c>
      <c r="K57" s="25">
        <v>48045.05</v>
      </c>
      <c r="L57" s="25">
        <v>10781.6</v>
      </c>
      <c r="M57" s="25">
        <v>1992.8510000000001</v>
      </c>
      <c r="N57" s="25">
        <v>884.20989999999995</v>
      </c>
      <c r="O57" s="25">
        <v>650.99680000000001</v>
      </c>
      <c r="P57" s="25">
        <v>451.0489</v>
      </c>
      <c r="Q57" s="25">
        <v>6.5953900000000001</v>
      </c>
      <c r="R57" s="24">
        <f>COUNTIFS(H57,"&lt;=" &amp; housesum!$B$4 )</f>
        <v>0</v>
      </c>
      <c r="S57" s="24">
        <f>COUNTIFS(H57,"&gt;=" &amp; housesum!$B$5 )</f>
        <v>0</v>
      </c>
      <c r="T57" s="11"/>
      <c r="V57" s="14"/>
      <c r="W57" s="11"/>
      <c r="X57" s="11"/>
    </row>
    <row r="58" spans="1:24" x14ac:dyDescent="0.35">
      <c r="A58" s="23">
        <v>57</v>
      </c>
      <c r="B58" s="25">
        <v>186531</v>
      </c>
      <c r="C58" s="25">
        <v>101787</v>
      </c>
      <c r="D58" s="25">
        <v>25400</v>
      </c>
      <c r="E58" s="25">
        <v>39726</v>
      </c>
      <c r="F58" s="25">
        <v>19618</v>
      </c>
      <c r="G58" s="26">
        <f t="shared" si="0"/>
        <v>0.54568409540505336</v>
      </c>
      <c r="H58" s="25">
        <v>186836.5</v>
      </c>
      <c r="I58" s="25">
        <v>101939.6</v>
      </c>
      <c r="J58" s="25">
        <v>25491.29</v>
      </c>
      <c r="K58" s="25">
        <v>39786.42</v>
      </c>
      <c r="L58" s="25">
        <v>19619.2</v>
      </c>
      <c r="M58" s="25">
        <v>305.49619999999999</v>
      </c>
      <c r="N58" s="25">
        <v>152.58250000000001</v>
      </c>
      <c r="O58" s="25">
        <v>91.287260000000003</v>
      </c>
      <c r="P58" s="25">
        <v>60.422240000000002</v>
      </c>
      <c r="Q58" s="25">
        <v>1.204234</v>
      </c>
      <c r="R58" s="24">
        <f>COUNTIFS(H58,"&lt;=" &amp; housesum!$B$4 )</f>
        <v>0</v>
      </c>
      <c r="S58" s="24">
        <f>COUNTIFS(H58,"&gt;=" &amp; housesum!$B$5 )</f>
        <v>0</v>
      </c>
      <c r="T58" s="11"/>
      <c r="U58" s="4"/>
      <c r="V58" s="14"/>
      <c r="W58" s="11"/>
      <c r="X58" s="11"/>
    </row>
    <row r="59" spans="1:24" x14ac:dyDescent="0.35">
      <c r="A59" s="23">
        <v>58</v>
      </c>
      <c r="B59" s="25">
        <v>189132</v>
      </c>
      <c r="C59" s="25">
        <v>126237</v>
      </c>
      <c r="D59" s="25">
        <v>8157</v>
      </c>
      <c r="E59" s="25">
        <v>44300</v>
      </c>
      <c r="F59" s="25">
        <v>10438</v>
      </c>
      <c r="G59" s="26">
        <f t="shared" si="0"/>
        <v>0.66745447623881737</v>
      </c>
      <c r="H59" s="25">
        <v>189470</v>
      </c>
      <c r="I59" s="25">
        <v>126908</v>
      </c>
      <c r="J59" s="25">
        <v>7989</v>
      </c>
      <c r="K59" s="25">
        <v>44139</v>
      </c>
      <c r="L59" s="25">
        <v>10434</v>
      </c>
      <c r="M59" s="25">
        <v>338.00029999999998</v>
      </c>
      <c r="N59" s="25">
        <v>671.00030000000004</v>
      </c>
      <c r="O59" s="25">
        <v>-168.0001</v>
      </c>
      <c r="P59" s="25">
        <v>-161.00020000000001</v>
      </c>
      <c r="Q59" s="25">
        <v>-3.9997590000000001</v>
      </c>
      <c r="R59" s="24">
        <f>COUNTIFS(H59,"&lt;=" &amp; housesum!$B$4 )</f>
        <v>0</v>
      </c>
      <c r="S59" s="24">
        <f>COUNTIFS(H59,"&gt;=" &amp; housesum!$B$5 )</f>
        <v>0</v>
      </c>
      <c r="T59" s="11"/>
      <c r="U59" s="4"/>
      <c r="V59" s="14"/>
      <c r="W59" s="11"/>
      <c r="X59" s="11"/>
    </row>
    <row r="60" spans="1:24" x14ac:dyDescent="0.35">
      <c r="A60" s="23">
        <v>59</v>
      </c>
      <c r="B60" s="25">
        <v>195458</v>
      </c>
      <c r="C60" s="25">
        <v>132839</v>
      </c>
      <c r="D60" s="25">
        <v>16349</v>
      </c>
      <c r="E60" s="25">
        <v>34739</v>
      </c>
      <c r="F60" s="25">
        <v>11531</v>
      </c>
      <c r="G60" s="26">
        <f t="shared" si="0"/>
        <v>0.67962938329462086</v>
      </c>
      <c r="H60" s="25">
        <v>189461</v>
      </c>
      <c r="I60" s="25">
        <v>130568</v>
      </c>
      <c r="J60" s="25">
        <v>14322</v>
      </c>
      <c r="K60" s="25">
        <v>33077</v>
      </c>
      <c r="L60" s="25">
        <v>11494</v>
      </c>
      <c r="M60" s="25">
        <v>-5997</v>
      </c>
      <c r="N60" s="25">
        <v>-2271</v>
      </c>
      <c r="O60" s="25">
        <v>-2027</v>
      </c>
      <c r="P60" s="25">
        <v>-1662</v>
      </c>
      <c r="Q60" s="25">
        <v>-36.999960000000002</v>
      </c>
      <c r="R60" s="24">
        <f>COUNTIFS(H60,"&lt;=" &amp; housesum!$B$4 )</f>
        <v>0</v>
      </c>
      <c r="S60" s="24">
        <f>COUNTIFS(H60,"&gt;=" &amp; housesum!$B$5 )</f>
        <v>0</v>
      </c>
      <c r="T60" s="11"/>
      <c r="U60" s="4"/>
      <c r="V60" s="15"/>
      <c r="W60" s="11"/>
      <c r="X60" s="11"/>
    </row>
    <row r="61" spans="1:24" x14ac:dyDescent="0.35">
      <c r="A61" s="23">
        <v>60</v>
      </c>
      <c r="B61" s="25">
        <v>185732</v>
      </c>
      <c r="C61" s="25">
        <v>144781</v>
      </c>
      <c r="D61" s="25">
        <v>3706</v>
      </c>
      <c r="E61" s="25">
        <v>27637</v>
      </c>
      <c r="F61" s="25">
        <v>9608</v>
      </c>
      <c r="G61" s="26">
        <f t="shared" si="0"/>
        <v>0.77951564619990088</v>
      </c>
      <c r="H61" s="25">
        <v>186635</v>
      </c>
      <c r="I61" s="25">
        <v>145614</v>
      </c>
      <c r="J61" s="25">
        <v>3682</v>
      </c>
      <c r="K61" s="25">
        <v>27728</v>
      </c>
      <c r="L61" s="25">
        <v>9611</v>
      </c>
      <c r="M61" s="25">
        <v>903.00009999999997</v>
      </c>
      <c r="N61" s="25">
        <v>833.00040000000001</v>
      </c>
      <c r="O61" s="25">
        <v>-24.000019999999999</v>
      </c>
      <c r="P61" s="25">
        <v>90.999849999999995</v>
      </c>
      <c r="Q61" s="25">
        <v>2.9999500000000001</v>
      </c>
      <c r="R61" s="24">
        <f>COUNTIFS(H61,"&lt;=" &amp; housesum!$B$4 )</f>
        <v>0</v>
      </c>
      <c r="S61" s="24">
        <f>COUNTIFS(H61,"&gt;=" &amp; housesum!$B$5 )</f>
        <v>0</v>
      </c>
      <c r="T61" s="11"/>
      <c r="U61" s="4"/>
      <c r="V61" s="14"/>
      <c r="W61" s="11"/>
      <c r="X61" s="11"/>
    </row>
    <row r="62" spans="1:24" x14ac:dyDescent="0.35">
      <c r="A62" s="23">
        <v>61</v>
      </c>
      <c r="B62" s="25">
        <v>202295</v>
      </c>
      <c r="C62" s="25">
        <v>103943</v>
      </c>
      <c r="D62" s="25">
        <v>23860</v>
      </c>
      <c r="E62" s="25">
        <v>24249</v>
      </c>
      <c r="F62" s="25">
        <v>50243</v>
      </c>
      <c r="G62" s="26">
        <f t="shared" si="0"/>
        <v>0.51381892780345539</v>
      </c>
      <c r="H62" s="25">
        <v>202622.1</v>
      </c>
      <c r="I62" s="25">
        <v>104110.3</v>
      </c>
      <c r="J62" s="25">
        <v>23949.31</v>
      </c>
      <c r="K62" s="25">
        <v>24310.21</v>
      </c>
      <c r="L62" s="25">
        <v>50252.31</v>
      </c>
      <c r="M62" s="25">
        <v>327.10599999999999</v>
      </c>
      <c r="N62" s="25">
        <v>167.2756</v>
      </c>
      <c r="O62" s="25">
        <v>89.310699999999997</v>
      </c>
      <c r="P62" s="25">
        <v>61.211069999999999</v>
      </c>
      <c r="Q62" s="25">
        <v>9.3090530000000005</v>
      </c>
      <c r="R62" s="24">
        <f>COUNTIFS(H62,"&lt;=" &amp; housesum!$B$4 )</f>
        <v>0</v>
      </c>
      <c r="S62" s="24">
        <f>COUNTIFS(H62,"&gt;=" &amp; housesum!$B$5 )</f>
        <v>0</v>
      </c>
      <c r="T62" s="11"/>
      <c r="U62" s="4"/>
      <c r="V62" s="14"/>
      <c r="W62" s="11"/>
      <c r="X62" s="11"/>
    </row>
    <row r="63" spans="1:24" x14ac:dyDescent="0.35">
      <c r="A63" s="23">
        <v>62</v>
      </c>
      <c r="B63" s="25">
        <v>186794</v>
      </c>
      <c r="C63" s="25">
        <v>134318</v>
      </c>
      <c r="D63" s="25">
        <v>12729</v>
      </c>
      <c r="E63" s="25">
        <v>26935</v>
      </c>
      <c r="F63" s="25">
        <v>12812</v>
      </c>
      <c r="G63" s="26">
        <f t="shared" si="0"/>
        <v>0.71907020568112467</v>
      </c>
      <c r="H63" s="25">
        <v>186426</v>
      </c>
      <c r="I63" s="25">
        <v>134558</v>
      </c>
      <c r="J63" s="25">
        <v>12415</v>
      </c>
      <c r="K63" s="25">
        <v>26645</v>
      </c>
      <c r="L63" s="25">
        <v>12808</v>
      </c>
      <c r="M63" s="25">
        <v>-368.00020000000001</v>
      </c>
      <c r="N63" s="25">
        <v>240.0001</v>
      </c>
      <c r="O63" s="25">
        <v>-314.00009999999997</v>
      </c>
      <c r="P63" s="25">
        <v>-290.00029999999998</v>
      </c>
      <c r="Q63" s="25">
        <v>-3.9999739999999999</v>
      </c>
      <c r="R63" s="24">
        <f>COUNTIFS(H63,"&lt;=" &amp; housesum!$B$4 )</f>
        <v>0</v>
      </c>
      <c r="S63" s="24">
        <f>COUNTIFS(H63,"&gt;=" &amp; housesum!$B$5 )</f>
        <v>0</v>
      </c>
      <c r="T63" s="11"/>
      <c r="U63" s="4"/>
      <c r="V63" s="14"/>
      <c r="W63" s="11"/>
      <c r="X63" s="11"/>
    </row>
    <row r="64" spans="1:24" x14ac:dyDescent="0.35">
      <c r="A64" s="23">
        <v>63</v>
      </c>
      <c r="B64" s="25">
        <v>202319</v>
      </c>
      <c r="C64" s="25">
        <v>101237</v>
      </c>
      <c r="D64" s="25">
        <v>22710</v>
      </c>
      <c r="E64" s="25">
        <v>44533</v>
      </c>
      <c r="F64" s="25">
        <v>33839</v>
      </c>
      <c r="G64" s="26">
        <f t="shared" si="0"/>
        <v>0.50038305843741815</v>
      </c>
      <c r="H64" s="25">
        <v>202622.2</v>
      </c>
      <c r="I64" s="25">
        <v>101388.8</v>
      </c>
      <c r="J64" s="25">
        <v>22791.62</v>
      </c>
      <c r="K64" s="25">
        <v>44600.73</v>
      </c>
      <c r="L64" s="25">
        <v>33841.08</v>
      </c>
      <c r="M64" s="25">
        <v>303.1884</v>
      </c>
      <c r="N64" s="25">
        <v>151.75800000000001</v>
      </c>
      <c r="O64" s="25">
        <v>81.619540000000001</v>
      </c>
      <c r="P64" s="25">
        <v>67.733530000000002</v>
      </c>
      <c r="Q64" s="25">
        <v>2.077296</v>
      </c>
      <c r="R64" s="24">
        <f>COUNTIFS(H64,"&lt;=" &amp; housesum!$B$4 )</f>
        <v>0</v>
      </c>
      <c r="S64" s="24">
        <f>COUNTIFS(H64,"&gt;=" &amp; housesum!$B$5 )</f>
        <v>0</v>
      </c>
      <c r="T64" s="11"/>
      <c r="V64" s="14"/>
      <c r="W64" s="11"/>
      <c r="X64" s="11"/>
    </row>
    <row r="65" spans="1:24" x14ac:dyDescent="0.35">
      <c r="A65" s="23">
        <v>64</v>
      </c>
      <c r="B65" s="25">
        <v>192862</v>
      </c>
      <c r="C65" s="25">
        <v>122076</v>
      </c>
      <c r="D65" s="25">
        <v>15399</v>
      </c>
      <c r="E65" s="25">
        <v>42635</v>
      </c>
      <c r="F65" s="25">
        <v>12752</v>
      </c>
      <c r="G65" s="26">
        <f t="shared" si="0"/>
        <v>0.63297072518173614</v>
      </c>
      <c r="H65" s="25">
        <v>192884.4</v>
      </c>
      <c r="I65" s="25">
        <v>122276.3</v>
      </c>
      <c r="J65" s="25">
        <v>15352.49</v>
      </c>
      <c r="K65" s="25">
        <v>42503.02</v>
      </c>
      <c r="L65" s="25">
        <v>12752.58</v>
      </c>
      <c r="M65" s="25">
        <v>22.384160000000001</v>
      </c>
      <c r="N65" s="25">
        <v>200.30250000000001</v>
      </c>
      <c r="O65" s="25">
        <v>-46.51258</v>
      </c>
      <c r="P65" s="25">
        <v>-131.98159999999999</v>
      </c>
      <c r="Q65" s="25">
        <v>0.57587370000000004</v>
      </c>
      <c r="R65" s="24">
        <f>COUNTIFS(H65,"&lt;=" &amp; housesum!$B$4 )</f>
        <v>0</v>
      </c>
      <c r="S65" s="24">
        <f>COUNTIFS(H65,"&gt;=" &amp; housesum!$B$5 )</f>
        <v>0</v>
      </c>
      <c r="T65" s="11"/>
      <c r="V65" s="18"/>
      <c r="W65" s="11"/>
      <c r="X65" s="11"/>
    </row>
    <row r="66" spans="1:24" x14ac:dyDescent="0.35">
      <c r="A66" s="23">
        <v>65</v>
      </c>
      <c r="B66" s="25">
        <v>202249</v>
      </c>
      <c r="C66" s="25">
        <v>104394</v>
      </c>
      <c r="D66" s="25">
        <v>25550</v>
      </c>
      <c r="E66" s="25">
        <v>38414</v>
      </c>
      <c r="F66" s="25">
        <v>33891</v>
      </c>
      <c r="G66" s="26">
        <f t="shared" si="0"/>
        <v>0.51616571651775778</v>
      </c>
      <c r="H66" s="25">
        <v>202557.8</v>
      </c>
      <c r="I66" s="25">
        <v>104550.5</v>
      </c>
      <c r="J66" s="25">
        <v>25641.83</v>
      </c>
      <c r="K66" s="25">
        <v>38472.43</v>
      </c>
      <c r="L66" s="25">
        <v>33893.08</v>
      </c>
      <c r="M66" s="25">
        <v>308.82400000000001</v>
      </c>
      <c r="N66" s="25">
        <v>156.4905</v>
      </c>
      <c r="O66" s="25">
        <v>91.826419999999999</v>
      </c>
      <c r="P66" s="25">
        <v>58.426699999999997</v>
      </c>
      <c r="Q66" s="25">
        <v>2.08047</v>
      </c>
      <c r="R66" s="24">
        <f>COUNTIFS(H66,"&lt;=" &amp; housesum!$B$4 )</f>
        <v>0</v>
      </c>
      <c r="S66" s="24">
        <f>COUNTIFS(H66,"&gt;=" &amp; housesum!$B$5 )</f>
        <v>0</v>
      </c>
      <c r="T66" s="11"/>
    </row>
    <row r="67" spans="1:24" x14ac:dyDescent="0.35">
      <c r="A67" s="23">
        <v>66</v>
      </c>
      <c r="B67" s="25">
        <v>198718</v>
      </c>
      <c r="C67" s="25">
        <v>109861</v>
      </c>
      <c r="D67" s="25">
        <v>18994</v>
      </c>
      <c r="E67" s="25">
        <v>24758</v>
      </c>
      <c r="F67" s="25">
        <v>45105</v>
      </c>
      <c r="G67" s="26">
        <f t="shared" ref="G67:G130" si="1">C67/B67</f>
        <v>0.55284876055515852</v>
      </c>
      <c r="H67" s="25">
        <v>199036.7</v>
      </c>
      <c r="I67" s="25">
        <v>110037.8</v>
      </c>
      <c r="J67" s="25">
        <v>19065.099999999999</v>
      </c>
      <c r="K67" s="25">
        <v>24820.5</v>
      </c>
      <c r="L67" s="25">
        <v>45113.36</v>
      </c>
      <c r="M67" s="25">
        <v>318.74900000000002</v>
      </c>
      <c r="N67" s="25">
        <v>176.79929999999999</v>
      </c>
      <c r="O67" s="25">
        <v>71.096710000000002</v>
      </c>
      <c r="P67" s="25">
        <v>62.495890000000003</v>
      </c>
      <c r="Q67" s="25">
        <v>8.3571670000000005</v>
      </c>
      <c r="R67" s="24">
        <f>COUNTIFS(H67,"&lt;=" &amp; housesum!$B$4 )</f>
        <v>0</v>
      </c>
      <c r="S67" s="24">
        <f>COUNTIFS(H67,"&gt;=" &amp; housesum!$B$5 )</f>
        <v>0</v>
      </c>
      <c r="T67" s="11"/>
    </row>
    <row r="68" spans="1:24" x14ac:dyDescent="0.35">
      <c r="A68" s="23">
        <v>67</v>
      </c>
      <c r="B68" s="25">
        <v>200888</v>
      </c>
      <c r="C68" s="25">
        <v>103907</v>
      </c>
      <c r="D68" s="25">
        <v>23491</v>
      </c>
      <c r="E68" s="25">
        <v>39438</v>
      </c>
      <c r="F68" s="25">
        <v>34052</v>
      </c>
      <c r="G68" s="26">
        <f t="shared" si="1"/>
        <v>0.51723846123212935</v>
      </c>
      <c r="H68" s="25">
        <v>201249</v>
      </c>
      <c r="I68" s="25">
        <v>104074.2</v>
      </c>
      <c r="J68" s="25">
        <v>23578.93</v>
      </c>
      <c r="K68" s="25">
        <v>39537.550000000003</v>
      </c>
      <c r="L68" s="25">
        <v>34058.31</v>
      </c>
      <c r="M68" s="25">
        <v>361.0086</v>
      </c>
      <c r="N68" s="25">
        <v>167.21770000000001</v>
      </c>
      <c r="O68" s="25">
        <v>87.92944</v>
      </c>
      <c r="P68" s="25">
        <v>99.552049999999994</v>
      </c>
      <c r="Q68" s="25">
        <v>6.3091790000000003</v>
      </c>
      <c r="R68" s="24">
        <f>COUNTIFS(H68,"&lt;=" &amp; housesum!$B$4 )</f>
        <v>0</v>
      </c>
      <c r="S68" s="24">
        <f>COUNTIFS(H68,"&gt;=" &amp; housesum!$B$5 )</f>
        <v>0</v>
      </c>
      <c r="T68" s="11"/>
    </row>
    <row r="69" spans="1:24" x14ac:dyDescent="0.35">
      <c r="A69" s="23">
        <v>68</v>
      </c>
      <c r="B69" s="25">
        <v>193744</v>
      </c>
      <c r="C69" s="25">
        <v>141215</v>
      </c>
      <c r="D69" s="25">
        <v>5693</v>
      </c>
      <c r="E69" s="25">
        <v>38085</v>
      </c>
      <c r="F69" s="25">
        <v>8751</v>
      </c>
      <c r="G69" s="26">
        <f t="shared" si="1"/>
        <v>0.7288741844908746</v>
      </c>
      <c r="H69" s="25">
        <v>193811</v>
      </c>
      <c r="I69" s="25">
        <v>141763</v>
      </c>
      <c r="J69" s="25">
        <v>5453</v>
      </c>
      <c r="K69" s="25">
        <v>37848</v>
      </c>
      <c r="L69" s="25">
        <v>8747</v>
      </c>
      <c r="M69" s="25">
        <v>67.000579999999999</v>
      </c>
      <c r="N69" s="25">
        <v>548.00059999999996</v>
      </c>
      <c r="O69" s="25">
        <v>-240.0001</v>
      </c>
      <c r="P69" s="25">
        <v>-236.9999</v>
      </c>
      <c r="Q69" s="25">
        <v>-4.0000359999999997</v>
      </c>
      <c r="R69" s="24">
        <f>COUNTIFS(H69,"&lt;=" &amp; housesum!$B$4 )</f>
        <v>0</v>
      </c>
      <c r="S69" s="24">
        <f>COUNTIFS(H69,"&gt;=" &amp; housesum!$B$5 )</f>
        <v>0</v>
      </c>
      <c r="T69" s="11"/>
    </row>
    <row r="70" spans="1:24" x14ac:dyDescent="0.35">
      <c r="A70" s="23">
        <v>69</v>
      </c>
      <c r="B70" s="25">
        <v>185518</v>
      </c>
      <c r="C70" s="25">
        <v>120093</v>
      </c>
      <c r="D70" s="25">
        <v>17792</v>
      </c>
      <c r="E70" s="25">
        <v>36585</v>
      </c>
      <c r="F70" s="25">
        <v>11048</v>
      </c>
      <c r="G70" s="26">
        <f t="shared" si="1"/>
        <v>0.64733880270378075</v>
      </c>
      <c r="H70" s="25">
        <v>183284</v>
      </c>
      <c r="I70" s="25">
        <v>119719</v>
      </c>
      <c r="J70" s="25">
        <v>16818</v>
      </c>
      <c r="K70" s="25">
        <v>35710</v>
      </c>
      <c r="L70" s="25">
        <v>11037</v>
      </c>
      <c r="M70" s="25">
        <v>-2234</v>
      </c>
      <c r="N70" s="25">
        <v>-373.99979999999999</v>
      </c>
      <c r="O70" s="25">
        <v>-974.00009999999997</v>
      </c>
      <c r="P70" s="25">
        <v>-875.00009999999997</v>
      </c>
      <c r="Q70" s="25">
        <v>-11.00004</v>
      </c>
      <c r="R70" s="24">
        <f>COUNTIFS(H70,"&lt;=" &amp; housesum!$B$4 )</f>
        <v>1</v>
      </c>
      <c r="S70" s="24">
        <f>COUNTIFS(H70,"&gt;=" &amp; housesum!$B$5 )</f>
        <v>0</v>
      </c>
      <c r="T70" s="11"/>
    </row>
    <row r="71" spans="1:24" x14ac:dyDescent="0.35">
      <c r="A71" s="23">
        <v>70</v>
      </c>
      <c r="B71" s="25">
        <v>185574</v>
      </c>
      <c r="C71" s="25">
        <v>85204</v>
      </c>
      <c r="D71" s="25">
        <v>22100</v>
      </c>
      <c r="E71" s="25">
        <v>28494</v>
      </c>
      <c r="F71" s="25">
        <v>49776</v>
      </c>
      <c r="G71" s="26">
        <f t="shared" si="1"/>
        <v>0.45913759470615495</v>
      </c>
      <c r="H71" s="25">
        <v>185875</v>
      </c>
      <c r="I71" s="25">
        <v>85341.119999999995</v>
      </c>
      <c r="J71" s="25">
        <v>22182.720000000001</v>
      </c>
      <c r="K71" s="25">
        <v>28565.93</v>
      </c>
      <c r="L71" s="25">
        <v>49785.22</v>
      </c>
      <c r="M71" s="25">
        <v>300.99119999999999</v>
      </c>
      <c r="N71" s="25">
        <v>137.119</v>
      </c>
      <c r="O71" s="25">
        <v>82.722800000000007</v>
      </c>
      <c r="P71" s="25">
        <v>71.92653</v>
      </c>
      <c r="Q71" s="25">
        <v>9.2226049999999997</v>
      </c>
      <c r="R71" s="24">
        <f>COUNTIFS(H71,"&lt;=" &amp; housesum!$B$4 )</f>
        <v>0</v>
      </c>
      <c r="S71" s="24">
        <f>COUNTIFS(H71,"&gt;=" &amp; housesum!$B$5 )</f>
        <v>0</v>
      </c>
      <c r="T71" s="11"/>
    </row>
    <row r="72" spans="1:24" x14ac:dyDescent="0.35">
      <c r="A72" s="23">
        <v>71</v>
      </c>
      <c r="B72" s="25">
        <v>191317</v>
      </c>
      <c r="C72" s="25">
        <v>118494</v>
      </c>
      <c r="D72" s="25">
        <v>16218</v>
      </c>
      <c r="E72" s="25">
        <v>46920</v>
      </c>
      <c r="F72" s="25">
        <v>9685</v>
      </c>
      <c r="G72" s="26">
        <f t="shared" si="1"/>
        <v>0.61935949236084609</v>
      </c>
      <c r="H72" s="25">
        <v>188510</v>
      </c>
      <c r="I72" s="25">
        <v>117988</v>
      </c>
      <c r="J72" s="25">
        <v>15102</v>
      </c>
      <c r="K72" s="25">
        <v>45754</v>
      </c>
      <c r="L72" s="25">
        <v>9666</v>
      </c>
      <c r="M72" s="25">
        <v>-2807</v>
      </c>
      <c r="N72" s="25">
        <v>-506.00009999999997</v>
      </c>
      <c r="O72" s="25">
        <v>-1116</v>
      </c>
      <c r="P72" s="25">
        <v>-1166</v>
      </c>
      <c r="Q72" s="25">
        <v>-19.000060000000001</v>
      </c>
      <c r="R72" s="24">
        <f>COUNTIFS(H72,"&lt;=" &amp; housesum!$B$4 )</f>
        <v>0</v>
      </c>
      <c r="S72" s="24">
        <f>COUNTIFS(H72,"&gt;=" &amp; housesum!$B$5 )</f>
        <v>0</v>
      </c>
      <c r="T72" s="11"/>
    </row>
    <row r="73" spans="1:24" x14ac:dyDescent="0.35">
      <c r="A73" s="23">
        <v>72</v>
      </c>
      <c r="B73" s="25">
        <v>186421</v>
      </c>
      <c r="C73" s="25">
        <v>98364</v>
      </c>
      <c r="D73" s="25">
        <v>7392</v>
      </c>
      <c r="E73" s="25">
        <v>72948</v>
      </c>
      <c r="F73" s="25">
        <v>7717</v>
      </c>
      <c r="G73" s="26">
        <f t="shared" si="1"/>
        <v>0.52764441774263626</v>
      </c>
      <c r="H73" s="25">
        <v>187994</v>
      </c>
      <c r="I73" s="25">
        <v>99020</v>
      </c>
      <c r="J73" s="25">
        <v>7571</v>
      </c>
      <c r="K73" s="25">
        <v>73685</v>
      </c>
      <c r="L73" s="25">
        <v>7718</v>
      </c>
      <c r="M73" s="25">
        <v>1573</v>
      </c>
      <c r="N73" s="25">
        <v>656.00040000000001</v>
      </c>
      <c r="O73" s="25">
        <v>179</v>
      </c>
      <c r="P73" s="25">
        <v>736.99990000000003</v>
      </c>
      <c r="Q73" s="25">
        <v>1.0000020000000001</v>
      </c>
      <c r="R73" s="24">
        <f>COUNTIFS(H73,"&lt;=" &amp; housesum!$B$4 )</f>
        <v>0</v>
      </c>
      <c r="S73" s="24">
        <f>COUNTIFS(H73,"&gt;=" &amp; housesum!$B$5 )</f>
        <v>0</v>
      </c>
      <c r="T73" s="11"/>
    </row>
    <row r="74" spans="1:24" x14ac:dyDescent="0.35">
      <c r="A74" s="23">
        <v>73</v>
      </c>
      <c r="B74" s="25">
        <v>201161</v>
      </c>
      <c r="C74" s="25">
        <v>136594</v>
      </c>
      <c r="D74" s="25">
        <v>5012</v>
      </c>
      <c r="E74" s="25">
        <v>49262</v>
      </c>
      <c r="F74" s="25">
        <v>10293</v>
      </c>
      <c r="G74" s="26">
        <f t="shared" si="1"/>
        <v>0.67902824106064297</v>
      </c>
      <c r="H74" s="25">
        <v>202091.5</v>
      </c>
      <c r="I74" s="25">
        <v>137103.20000000001</v>
      </c>
      <c r="J74" s="25">
        <v>5081.7259999999997</v>
      </c>
      <c r="K74" s="25">
        <v>49610.19</v>
      </c>
      <c r="L74" s="25">
        <v>10296.43</v>
      </c>
      <c r="M74" s="25">
        <v>930.51530000000002</v>
      </c>
      <c r="N74" s="25">
        <v>509.17559999999997</v>
      </c>
      <c r="O74" s="25">
        <v>69.726179999999999</v>
      </c>
      <c r="P74" s="25">
        <v>348.1859</v>
      </c>
      <c r="Q74" s="25">
        <v>3.427721</v>
      </c>
      <c r="R74" s="24">
        <f>COUNTIFS(H74,"&lt;=" &amp; housesum!$B$4 )</f>
        <v>0</v>
      </c>
      <c r="S74" s="24">
        <f>COUNTIFS(H74,"&gt;=" &amp; housesum!$B$5 )</f>
        <v>0</v>
      </c>
      <c r="T74" s="11"/>
    </row>
    <row r="75" spans="1:24" x14ac:dyDescent="0.35">
      <c r="A75" s="23">
        <v>74</v>
      </c>
      <c r="B75" s="25">
        <v>203239</v>
      </c>
      <c r="C75" s="25">
        <v>28330</v>
      </c>
      <c r="D75" s="25">
        <v>3896</v>
      </c>
      <c r="E75" s="25">
        <v>165920</v>
      </c>
      <c r="F75" s="25">
        <v>5093</v>
      </c>
      <c r="G75" s="26">
        <f t="shared" si="1"/>
        <v>0.1393925378495269</v>
      </c>
      <c r="H75" s="25">
        <v>202906.1</v>
      </c>
      <c r="I75" s="25">
        <v>28141.67</v>
      </c>
      <c r="J75" s="25">
        <v>3764.0329999999999</v>
      </c>
      <c r="K75" s="25">
        <v>165910.79999999999</v>
      </c>
      <c r="L75" s="25">
        <v>5089.6750000000002</v>
      </c>
      <c r="M75" s="25">
        <v>-332.85750000000002</v>
      </c>
      <c r="N75" s="25">
        <v>-188.32849999999999</v>
      </c>
      <c r="O75" s="25">
        <v>-131.96729999999999</v>
      </c>
      <c r="P75" s="25">
        <v>-9.2366960000000002</v>
      </c>
      <c r="Q75" s="25">
        <v>-3.3250150000000001</v>
      </c>
      <c r="R75" s="24">
        <f>COUNTIFS(H75,"&lt;=" &amp; housesum!$B$4 )</f>
        <v>0</v>
      </c>
      <c r="S75" s="24">
        <f>COUNTIFS(H75,"&gt;=" &amp; housesum!$B$5 )</f>
        <v>0</v>
      </c>
      <c r="T75" s="11"/>
    </row>
    <row r="76" spans="1:24" x14ac:dyDescent="0.35">
      <c r="A76" s="23">
        <v>75</v>
      </c>
      <c r="B76" s="25">
        <v>200505</v>
      </c>
      <c r="C76" s="25">
        <v>11259</v>
      </c>
      <c r="D76" s="25">
        <v>4526</v>
      </c>
      <c r="E76" s="25">
        <v>181431</v>
      </c>
      <c r="F76" s="25">
        <v>3289</v>
      </c>
      <c r="G76" s="26">
        <f t="shared" si="1"/>
        <v>5.6153213136829506E-2</v>
      </c>
      <c r="H76" s="25">
        <v>201041.9</v>
      </c>
      <c r="I76" s="25">
        <v>11293.72</v>
      </c>
      <c r="J76" s="25">
        <v>4565.576</v>
      </c>
      <c r="K76" s="25">
        <v>181892.4</v>
      </c>
      <c r="L76" s="25">
        <v>3290.2570000000001</v>
      </c>
      <c r="M76" s="25">
        <v>536.9239</v>
      </c>
      <c r="N76" s="25">
        <v>34.715040000000002</v>
      </c>
      <c r="O76" s="25">
        <v>39.575769999999999</v>
      </c>
      <c r="P76" s="25">
        <v>461.37610000000001</v>
      </c>
      <c r="Q76" s="25">
        <v>1.257047</v>
      </c>
      <c r="R76" s="24">
        <f>COUNTIFS(H76,"&lt;=" &amp; housesum!$B$4 )</f>
        <v>0</v>
      </c>
      <c r="S76" s="24">
        <f>COUNTIFS(H76,"&gt;=" &amp; housesum!$B$5 )</f>
        <v>0</v>
      </c>
      <c r="T76" s="11"/>
    </row>
    <row r="77" spans="1:24" x14ac:dyDescent="0.35">
      <c r="A77" s="23">
        <v>76</v>
      </c>
      <c r="B77" s="25">
        <v>198548</v>
      </c>
      <c r="C77" s="25">
        <v>40774</v>
      </c>
      <c r="D77" s="25">
        <v>45498</v>
      </c>
      <c r="E77" s="25">
        <v>45075</v>
      </c>
      <c r="F77" s="25">
        <v>67201</v>
      </c>
      <c r="G77" s="26">
        <f t="shared" si="1"/>
        <v>0.20536092028124181</v>
      </c>
      <c r="H77" s="25">
        <v>196858.5</v>
      </c>
      <c r="I77" s="25">
        <v>40080.86</v>
      </c>
      <c r="J77" s="25">
        <v>44923.56</v>
      </c>
      <c r="K77" s="25">
        <v>44660.5</v>
      </c>
      <c r="L77" s="25">
        <v>67193.62</v>
      </c>
      <c r="M77" s="25">
        <v>-1689.4590000000001</v>
      </c>
      <c r="N77" s="25">
        <v>-693.14469999999994</v>
      </c>
      <c r="O77" s="25">
        <v>-574.43629999999996</v>
      </c>
      <c r="P77" s="25">
        <v>-414.4991</v>
      </c>
      <c r="Q77" s="25">
        <v>-7.3789870000000004</v>
      </c>
      <c r="R77" s="24">
        <f>COUNTIFS(H77,"&lt;=" &amp; housesum!$B$4 )</f>
        <v>0</v>
      </c>
      <c r="S77" s="24">
        <f>COUNTIFS(H77,"&gt;=" &amp; housesum!$B$5 )</f>
        <v>0</v>
      </c>
      <c r="T77" s="11"/>
    </row>
    <row r="78" spans="1:24" x14ac:dyDescent="0.35">
      <c r="A78" s="23">
        <v>77</v>
      </c>
      <c r="B78" s="25">
        <v>203921</v>
      </c>
      <c r="C78" s="25">
        <v>15838</v>
      </c>
      <c r="D78" s="25">
        <v>4142</v>
      </c>
      <c r="E78" s="25">
        <v>180004</v>
      </c>
      <c r="F78" s="25">
        <v>3937</v>
      </c>
      <c r="G78" s="26">
        <f t="shared" si="1"/>
        <v>7.7667331956983346E-2</v>
      </c>
      <c r="H78" s="25">
        <v>204465.3</v>
      </c>
      <c r="I78" s="25">
        <v>15886.83</v>
      </c>
      <c r="J78" s="25">
        <v>4178.2179999999998</v>
      </c>
      <c r="K78" s="25">
        <v>180461.7</v>
      </c>
      <c r="L78" s="25">
        <v>3938.5050000000001</v>
      </c>
      <c r="M78" s="25">
        <v>544.30330000000004</v>
      </c>
      <c r="N78" s="25">
        <v>48.833530000000003</v>
      </c>
      <c r="O78" s="25">
        <v>36.218060000000001</v>
      </c>
      <c r="P78" s="25">
        <v>457.74720000000002</v>
      </c>
      <c r="Q78" s="25">
        <v>1.5047299999999999</v>
      </c>
      <c r="R78" s="24">
        <f>COUNTIFS(H78,"&lt;=" &amp; housesum!$B$4 )</f>
        <v>0</v>
      </c>
      <c r="S78" s="24">
        <f>COUNTIFS(H78,"&gt;=" &amp; housesum!$B$5 )</f>
        <v>1</v>
      </c>
      <c r="T78" s="11"/>
    </row>
    <row r="79" spans="1:24" x14ac:dyDescent="0.35">
      <c r="A79" s="23">
        <v>78</v>
      </c>
      <c r="B79" s="25">
        <v>203786</v>
      </c>
      <c r="C79" s="25">
        <v>38407</v>
      </c>
      <c r="D79" s="25">
        <v>8859</v>
      </c>
      <c r="E79" s="25">
        <v>148278</v>
      </c>
      <c r="F79" s="25">
        <v>8242</v>
      </c>
      <c r="G79" s="26">
        <f t="shared" si="1"/>
        <v>0.18846731375069925</v>
      </c>
      <c r="H79" s="25">
        <v>204362.1</v>
      </c>
      <c r="I79" s="25">
        <v>38525.42</v>
      </c>
      <c r="J79" s="25">
        <v>8936.4639999999999</v>
      </c>
      <c r="K79" s="25">
        <v>148655.1</v>
      </c>
      <c r="L79" s="25">
        <v>8245.15</v>
      </c>
      <c r="M79" s="25">
        <v>576.10289999999998</v>
      </c>
      <c r="N79" s="25">
        <v>118.4205</v>
      </c>
      <c r="O79" s="25">
        <v>77.463930000000005</v>
      </c>
      <c r="P79" s="25">
        <v>377.0686</v>
      </c>
      <c r="Q79" s="25">
        <v>3.1501450000000002</v>
      </c>
      <c r="R79" s="24">
        <f>COUNTIFS(H79,"&lt;=" &amp; housesum!$B$4 )</f>
        <v>0</v>
      </c>
      <c r="S79" s="24">
        <f>COUNTIFS(H79,"&gt;=" &amp; housesum!$B$5 )</f>
        <v>1</v>
      </c>
      <c r="T79" s="11"/>
    </row>
    <row r="80" spans="1:24" x14ac:dyDescent="0.35">
      <c r="A80" s="23">
        <v>79</v>
      </c>
      <c r="B80" s="25">
        <v>201379</v>
      </c>
      <c r="C80" s="25">
        <v>26063</v>
      </c>
      <c r="D80" s="25">
        <v>8544</v>
      </c>
      <c r="E80" s="25">
        <v>160459</v>
      </c>
      <c r="F80" s="25">
        <v>6313</v>
      </c>
      <c r="G80" s="26">
        <f t="shared" si="1"/>
        <v>0.12942263095953402</v>
      </c>
      <c r="H80" s="25">
        <v>201944.5</v>
      </c>
      <c r="I80" s="25">
        <v>26143.360000000001</v>
      </c>
      <c r="J80" s="25">
        <v>8618.7099999999991</v>
      </c>
      <c r="K80" s="25">
        <v>160867</v>
      </c>
      <c r="L80" s="25">
        <v>6315.4129999999996</v>
      </c>
      <c r="M80" s="25">
        <v>565.52739999999994</v>
      </c>
      <c r="N80" s="25">
        <v>80.36027</v>
      </c>
      <c r="O80" s="25">
        <v>74.709549999999993</v>
      </c>
      <c r="P80" s="25">
        <v>408.04480000000001</v>
      </c>
      <c r="Q80" s="25">
        <v>2.4128720000000001</v>
      </c>
      <c r="R80" s="24">
        <f>COUNTIFS(H80,"&lt;=" &amp; housesum!$B$4 )</f>
        <v>0</v>
      </c>
      <c r="S80" s="24">
        <f>COUNTIFS(H80,"&gt;=" &amp; housesum!$B$5 )</f>
        <v>0</v>
      </c>
      <c r="T80" s="11"/>
    </row>
    <row r="81" spans="1:20" x14ac:dyDescent="0.35">
      <c r="A81" s="23">
        <v>80</v>
      </c>
      <c r="B81" s="25">
        <v>192601</v>
      </c>
      <c r="C81" s="25">
        <v>29731</v>
      </c>
      <c r="D81" s="25">
        <v>1734</v>
      </c>
      <c r="E81" s="25">
        <v>158377</v>
      </c>
      <c r="F81" s="25">
        <v>2759</v>
      </c>
      <c r="G81" s="26">
        <f t="shared" si="1"/>
        <v>0.15436576134080301</v>
      </c>
      <c r="H81" s="25">
        <v>191955.8</v>
      </c>
      <c r="I81" s="25">
        <v>29618.79</v>
      </c>
      <c r="J81" s="25">
        <v>1307.3140000000001</v>
      </c>
      <c r="K81" s="25">
        <v>158277.70000000001</v>
      </c>
      <c r="L81" s="25">
        <v>2752</v>
      </c>
      <c r="M81" s="25">
        <v>-645.17610000000002</v>
      </c>
      <c r="N81" s="25">
        <v>-112.20569999999999</v>
      </c>
      <c r="O81" s="25">
        <v>-426.68610000000001</v>
      </c>
      <c r="P81" s="25">
        <v>-99.284099999999995</v>
      </c>
      <c r="Q81" s="25">
        <v>-7.0000119999999999</v>
      </c>
      <c r="R81" s="24">
        <f>COUNTIFS(H81,"&lt;=" &amp; housesum!$B$4 )</f>
        <v>0</v>
      </c>
      <c r="S81" s="24">
        <f>COUNTIFS(H81,"&gt;=" &amp; housesum!$B$5 )</f>
        <v>0</v>
      </c>
      <c r="T81" s="11"/>
    </row>
    <row r="82" spans="1:20" x14ac:dyDescent="0.35">
      <c r="A82" s="23">
        <v>81</v>
      </c>
      <c r="B82" s="25">
        <v>184670</v>
      </c>
      <c r="C82" s="25">
        <v>58287</v>
      </c>
      <c r="D82" s="25">
        <v>8986</v>
      </c>
      <c r="E82" s="25">
        <v>111109</v>
      </c>
      <c r="F82" s="25">
        <v>6288</v>
      </c>
      <c r="G82" s="26">
        <f t="shared" si="1"/>
        <v>0.3156278767531272</v>
      </c>
      <c r="H82" s="25">
        <v>187763</v>
      </c>
      <c r="I82" s="25">
        <v>59224</v>
      </c>
      <c r="J82" s="25">
        <v>9675</v>
      </c>
      <c r="K82" s="25">
        <v>112567</v>
      </c>
      <c r="L82" s="25">
        <v>6297</v>
      </c>
      <c r="M82" s="25">
        <v>3093</v>
      </c>
      <c r="N82" s="25">
        <v>937.00009999999997</v>
      </c>
      <c r="O82" s="25">
        <v>688.99990000000003</v>
      </c>
      <c r="P82" s="25">
        <v>1457.999</v>
      </c>
      <c r="Q82" s="25">
        <v>9.000076</v>
      </c>
      <c r="R82" s="24">
        <f>COUNTIFS(H82,"&lt;=" &amp; housesum!$B$4 )</f>
        <v>0</v>
      </c>
      <c r="S82" s="24">
        <f>COUNTIFS(H82,"&gt;=" &amp; housesum!$B$5 )</f>
        <v>0</v>
      </c>
      <c r="T82" s="11"/>
    </row>
    <row r="83" spans="1:20" x14ac:dyDescent="0.35">
      <c r="A83" s="23">
        <v>82</v>
      </c>
      <c r="B83" s="25">
        <v>187676</v>
      </c>
      <c r="C83" s="25">
        <v>83857</v>
      </c>
      <c r="D83" s="25">
        <v>12558</v>
      </c>
      <c r="E83" s="25">
        <v>82353</v>
      </c>
      <c r="F83" s="25">
        <v>8908</v>
      </c>
      <c r="G83" s="26">
        <f t="shared" si="1"/>
        <v>0.44681792024552952</v>
      </c>
      <c r="H83" s="25">
        <v>187460</v>
      </c>
      <c r="I83" s="25">
        <v>83760</v>
      </c>
      <c r="J83" s="25">
        <v>12280</v>
      </c>
      <c r="K83" s="25">
        <v>82514</v>
      </c>
      <c r="L83" s="25">
        <v>8906</v>
      </c>
      <c r="M83" s="25">
        <v>-215.9999</v>
      </c>
      <c r="N83" s="25">
        <v>-97.000249999999994</v>
      </c>
      <c r="O83" s="25">
        <v>-278</v>
      </c>
      <c r="P83" s="25">
        <v>161.0001</v>
      </c>
      <c r="Q83" s="25">
        <v>-1.9999180000000001</v>
      </c>
      <c r="R83" s="24">
        <f>COUNTIFS(H83,"&lt;=" &amp; housesum!$B$4 )</f>
        <v>0</v>
      </c>
      <c r="S83" s="24">
        <f>COUNTIFS(H83,"&gt;=" &amp; housesum!$B$5 )</f>
        <v>0</v>
      </c>
      <c r="T83" s="11"/>
    </row>
    <row r="84" spans="1:20" x14ac:dyDescent="0.35">
      <c r="A84" s="23">
        <v>83</v>
      </c>
      <c r="B84" s="25">
        <v>185969</v>
      </c>
      <c r="C84" s="25">
        <v>105330</v>
      </c>
      <c r="D84" s="25">
        <v>8255</v>
      </c>
      <c r="E84" s="25">
        <v>65004</v>
      </c>
      <c r="F84" s="25">
        <v>7380</v>
      </c>
      <c r="G84" s="26">
        <f t="shared" si="1"/>
        <v>0.56638472003398421</v>
      </c>
      <c r="H84" s="25">
        <v>183399</v>
      </c>
      <c r="I84" s="25">
        <v>104400</v>
      </c>
      <c r="J84" s="25">
        <v>7490</v>
      </c>
      <c r="K84" s="25">
        <v>64144</v>
      </c>
      <c r="L84" s="25">
        <v>7365</v>
      </c>
      <c r="M84" s="25">
        <v>-2570</v>
      </c>
      <c r="N84" s="25">
        <v>-929.99990000000003</v>
      </c>
      <c r="O84" s="25">
        <v>-765</v>
      </c>
      <c r="P84" s="25">
        <v>-860</v>
      </c>
      <c r="Q84" s="25">
        <v>-15</v>
      </c>
      <c r="R84" s="24">
        <f>COUNTIFS(H84,"&lt;=" &amp; housesum!$B$4 )</f>
        <v>1</v>
      </c>
      <c r="S84" s="24">
        <f>COUNTIFS(H84,"&gt;=" &amp; housesum!$B$5 )</f>
        <v>0</v>
      </c>
      <c r="T84" s="11"/>
    </row>
    <row r="85" spans="1:20" x14ac:dyDescent="0.35">
      <c r="A85" s="23">
        <v>84</v>
      </c>
      <c r="B85" s="25">
        <v>187524</v>
      </c>
      <c r="C85" s="25">
        <v>78868</v>
      </c>
      <c r="D85" s="25">
        <v>22820</v>
      </c>
      <c r="E85" s="25">
        <v>73527</v>
      </c>
      <c r="F85" s="25">
        <v>12309</v>
      </c>
      <c r="G85" s="26">
        <f t="shared" si="1"/>
        <v>0.42057549966937563</v>
      </c>
      <c r="H85" s="25">
        <v>187524</v>
      </c>
      <c r="I85" s="25">
        <v>78868</v>
      </c>
      <c r="J85" s="25">
        <v>22820</v>
      </c>
      <c r="K85" s="25">
        <v>73527</v>
      </c>
      <c r="L85" s="25">
        <v>12309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4">
        <f>COUNTIFS(H85,"&lt;=" &amp; housesum!$B$4 )</f>
        <v>0</v>
      </c>
      <c r="S85" s="24">
        <f>COUNTIFS(H85,"&gt;=" &amp; housesum!$B$5 )</f>
        <v>0</v>
      </c>
      <c r="T85" s="11"/>
    </row>
    <row r="86" spans="1:20" x14ac:dyDescent="0.35">
      <c r="A86" s="23">
        <v>85</v>
      </c>
      <c r="B86" s="25">
        <v>202964</v>
      </c>
      <c r="C86" s="25">
        <v>96810</v>
      </c>
      <c r="D86" s="25">
        <v>27361</v>
      </c>
      <c r="E86" s="25">
        <v>57947</v>
      </c>
      <c r="F86" s="25">
        <v>20846</v>
      </c>
      <c r="G86" s="26">
        <f t="shared" si="1"/>
        <v>0.47698113951242582</v>
      </c>
      <c r="H86" s="25">
        <v>203717.4</v>
      </c>
      <c r="I86" s="25">
        <v>97036.5</v>
      </c>
      <c r="J86" s="25">
        <v>27673.46</v>
      </c>
      <c r="K86" s="25">
        <v>58158.41</v>
      </c>
      <c r="L86" s="25">
        <v>20849.07</v>
      </c>
      <c r="M86" s="25">
        <v>753.4348</v>
      </c>
      <c r="N86" s="25">
        <v>226.49700000000001</v>
      </c>
      <c r="O86" s="25">
        <v>312.4581</v>
      </c>
      <c r="P86" s="25">
        <v>211.40700000000001</v>
      </c>
      <c r="Q86" s="25">
        <v>3.0726659999999999</v>
      </c>
      <c r="R86" s="24">
        <f>COUNTIFS(H86,"&lt;=" &amp; housesum!$B$4 )</f>
        <v>0</v>
      </c>
      <c r="S86" s="24">
        <f>COUNTIFS(H86,"&gt;=" &amp; housesum!$B$5 )</f>
        <v>0</v>
      </c>
      <c r="T86" s="11"/>
    </row>
    <row r="87" spans="1:20" x14ac:dyDescent="0.35">
      <c r="A87" s="23">
        <v>86</v>
      </c>
      <c r="B87" s="25">
        <v>185308</v>
      </c>
      <c r="C87" s="25">
        <v>112317</v>
      </c>
      <c r="D87" s="25">
        <v>6475</v>
      </c>
      <c r="E87" s="25">
        <v>57807</v>
      </c>
      <c r="F87" s="25">
        <v>8709</v>
      </c>
      <c r="G87" s="26">
        <f t="shared" si="1"/>
        <v>0.60610982796209556</v>
      </c>
      <c r="H87" s="25">
        <v>185642</v>
      </c>
      <c r="I87" s="25">
        <v>112627</v>
      </c>
      <c r="J87" s="25">
        <v>6395</v>
      </c>
      <c r="K87" s="25">
        <v>57910</v>
      </c>
      <c r="L87" s="25">
        <v>8710</v>
      </c>
      <c r="M87" s="25">
        <v>334</v>
      </c>
      <c r="N87" s="25">
        <v>310.00009999999997</v>
      </c>
      <c r="O87" s="25">
        <v>-80.00009</v>
      </c>
      <c r="P87" s="25">
        <v>102.9999</v>
      </c>
      <c r="Q87" s="25">
        <v>0.99990590000000001</v>
      </c>
      <c r="R87" s="24">
        <f>COUNTIFS(H87,"&lt;=" &amp; housesum!$B$4 )</f>
        <v>0</v>
      </c>
      <c r="S87" s="24">
        <f>COUNTIFS(H87,"&gt;=" &amp; housesum!$B$5 )</f>
        <v>0</v>
      </c>
      <c r="T87" s="11"/>
    </row>
    <row r="88" spans="1:20" s="3" customFormat="1" x14ac:dyDescent="0.35">
      <c r="A88" s="23">
        <v>87</v>
      </c>
      <c r="B88" s="25">
        <v>187448</v>
      </c>
      <c r="C88" s="25">
        <v>85253</v>
      </c>
      <c r="D88" s="25">
        <v>14916</v>
      </c>
      <c r="E88" s="25">
        <v>73882</v>
      </c>
      <c r="F88" s="25">
        <v>13397</v>
      </c>
      <c r="G88" s="26">
        <f t="shared" si="1"/>
        <v>0.45480880030728521</v>
      </c>
      <c r="H88" s="25">
        <v>184163</v>
      </c>
      <c r="I88" s="25">
        <v>84490</v>
      </c>
      <c r="J88" s="25">
        <v>13510</v>
      </c>
      <c r="K88" s="25">
        <v>72766</v>
      </c>
      <c r="L88" s="25">
        <v>13397</v>
      </c>
      <c r="M88" s="25">
        <v>-3285</v>
      </c>
      <c r="N88" s="25">
        <v>-763</v>
      </c>
      <c r="O88" s="25">
        <v>-1406</v>
      </c>
      <c r="P88" s="25">
        <v>-1116</v>
      </c>
      <c r="Q88" s="25">
        <v>-3.7299999999999999E-5</v>
      </c>
      <c r="R88" s="24">
        <f>COUNTIFS(H88,"&lt;=" &amp; housesum!$B$4 )</f>
        <v>1</v>
      </c>
      <c r="S88" s="24">
        <f>COUNTIFS(H88,"&gt;=" &amp; housesum!$B$5 )</f>
        <v>0</v>
      </c>
      <c r="T88" s="11"/>
    </row>
    <row r="89" spans="1:20" s="3" customFormat="1" x14ac:dyDescent="0.35">
      <c r="A89" s="23">
        <v>88</v>
      </c>
      <c r="B89" s="25">
        <v>186059</v>
      </c>
      <c r="C89" s="25">
        <v>86426</v>
      </c>
      <c r="D89" s="25">
        <v>6355</v>
      </c>
      <c r="E89" s="25">
        <v>88538</v>
      </c>
      <c r="F89" s="25">
        <v>4740</v>
      </c>
      <c r="G89" s="26">
        <f t="shared" si="1"/>
        <v>0.46450856986224798</v>
      </c>
      <c r="H89" s="25">
        <v>182985</v>
      </c>
      <c r="I89" s="25">
        <v>85630</v>
      </c>
      <c r="J89" s="25">
        <v>5357</v>
      </c>
      <c r="K89" s="25">
        <v>87285</v>
      </c>
      <c r="L89" s="25">
        <v>4713</v>
      </c>
      <c r="M89" s="25">
        <v>-3074</v>
      </c>
      <c r="N89" s="25">
        <v>-796.00030000000004</v>
      </c>
      <c r="O89" s="25">
        <v>-998</v>
      </c>
      <c r="P89" s="25">
        <v>-1253</v>
      </c>
      <c r="Q89" s="25">
        <v>-27</v>
      </c>
      <c r="R89" s="24">
        <f>COUNTIFS(H89,"&lt;=" &amp; housesum!$B$4 )</f>
        <v>1</v>
      </c>
      <c r="S89" s="24">
        <f>COUNTIFS(H89,"&gt;=" &amp; housesum!$B$5 )</f>
        <v>0</v>
      </c>
      <c r="T89" s="11"/>
    </row>
    <row r="90" spans="1:20" x14ac:dyDescent="0.35">
      <c r="A90" s="23">
        <v>89</v>
      </c>
      <c r="B90" s="25">
        <v>194270</v>
      </c>
      <c r="C90" s="25">
        <v>101931</v>
      </c>
      <c r="D90" s="25">
        <v>21738</v>
      </c>
      <c r="E90" s="25">
        <v>37402</v>
      </c>
      <c r="F90" s="25">
        <v>33199</v>
      </c>
      <c r="G90" s="26">
        <f t="shared" si="1"/>
        <v>0.52468729088382149</v>
      </c>
      <c r="H90" s="25">
        <v>194616</v>
      </c>
      <c r="I90" s="25">
        <v>102095</v>
      </c>
      <c r="J90" s="25">
        <v>21819.37</v>
      </c>
      <c r="K90" s="25">
        <v>37496.410000000003</v>
      </c>
      <c r="L90" s="25">
        <v>33205.15</v>
      </c>
      <c r="M90" s="25">
        <v>345.96940000000001</v>
      </c>
      <c r="N90" s="25">
        <v>164.0378</v>
      </c>
      <c r="O90" s="25">
        <v>81.367789999999999</v>
      </c>
      <c r="P90" s="25">
        <v>94.412739999999999</v>
      </c>
      <c r="Q90" s="25">
        <v>6.1511500000000003</v>
      </c>
      <c r="R90" s="24">
        <f>COUNTIFS(H90,"&lt;=" &amp; housesum!$B$4 )</f>
        <v>0</v>
      </c>
      <c r="S90" s="24">
        <f>COUNTIFS(H90,"&gt;=" &amp; housesum!$B$5 )</f>
        <v>0</v>
      </c>
      <c r="T90" s="11"/>
    </row>
    <row r="91" spans="1:20" x14ac:dyDescent="0.35">
      <c r="A91" s="23">
        <v>90</v>
      </c>
      <c r="B91" s="25">
        <v>202379</v>
      </c>
      <c r="C91" s="25">
        <v>34331</v>
      </c>
      <c r="D91" s="25">
        <v>27599</v>
      </c>
      <c r="E91" s="25">
        <v>132813</v>
      </c>
      <c r="F91" s="25">
        <v>7636</v>
      </c>
      <c r="G91" s="26">
        <f t="shared" si="1"/>
        <v>0.16963716591148292</v>
      </c>
      <c r="H91" s="25">
        <v>203277.1</v>
      </c>
      <c r="I91" s="25">
        <v>34456.43</v>
      </c>
      <c r="J91" s="25">
        <v>27889.05</v>
      </c>
      <c r="K91" s="25">
        <v>133292.6</v>
      </c>
      <c r="L91" s="25">
        <v>7639.0050000000001</v>
      </c>
      <c r="M91" s="25">
        <v>898.05229999999995</v>
      </c>
      <c r="N91" s="25">
        <v>125.4288</v>
      </c>
      <c r="O91" s="25">
        <v>290.05130000000003</v>
      </c>
      <c r="P91" s="25">
        <v>479.5675</v>
      </c>
      <c r="Q91" s="25">
        <v>3.0045820000000001</v>
      </c>
      <c r="R91" s="24">
        <f>COUNTIFS(H91,"&lt;=" &amp; housesum!$B$4 )</f>
        <v>0</v>
      </c>
      <c r="S91" s="24">
        <f>COUNTIFS(H91,"&gt;=" &amp; housesum!$B$5 )</f>
        <v>0</v>
      </c>
      <c r="T91" s="11"/>
    </row>
    <row r="92" spans="1:20" x14ac:dyDescent="0.35">
      <c r="A92" s="23">
        <v>91</v>
      </c>
      <c r="B92" s="25">
        <v>186760</v>
      </c>
      <c r="C92" s="25">
        <v>99881</v>
      </c>
      <c r="D92" s="25">
        <v>15840</v>
      </c>
      <c r="E92" s="25">
        <v>51223</v>
      </c>
      <c r="F92" s="25">
        <v>19816</v>
      </c>
      <c r="G92" s="26">
        <f t="shared" si="1"/>
        <v>0.53480938102377384</v>
      </c>
      <c r="H92" s="25">
        <v>187484.1</v>
      </c>
      <c r="I92" s="25">
        <v>100245.9</v>
      </c>
      <c r="J92" s="25">
        <v>16006.47</v>
      </c>
      <c r="K92" s="25">
        <v>51407.96</v>
      </c>
      <c r="L92" s="25">
        <v>19823.8</v>
      </c>
      <c r="M92" s="25">
        <v>724.14120000000003</v>
      </c>
      <c r="N92" s="25">
        <v>364.91609999999997</v>
      </c>
      <c r="O92" s="25">
        <v>166.47030000000001</v>
      </c>
      <c r="P92" s="25">
        <v>184.95830000000001</v>
      </c>
      <c r="Q92" s="25">
        <v>7.7968260000000003</v>
      </c>
      <c r="R92" s="24">
        <f>COUNTIFS(H92,"&lt;=" &amp; housesum!$B$4 )</f>
        <v>0</v>
      </c>
      <c r="S92" s="24">
        <f>COUNTIFS(H92,"&gt;=" &amp; housesum!$B$5 )</f>
        <v>0</v>
      </c>
      <c r="T92" s="11"/>
    </row>
    <row r="93" spans="1:20" x14ac:dyDescent="0.35">
      <c r="A93" s="23">
        <v>92</v>
      </c>
      <c r="B93" s="25">
        <v>188309</v>
      </c>
      <c r="C93" s="25">
        <v>51696</v>
      </c>
      <c r="D93" s="25">
        <v>52357</v>
      </c>
      <c r="E93" s="25">
        <v>61146</v>
      </c>
      <c r="F93" s="25">
        <v>23110</v>
      </c>
      <c r="G93" s="26">
        <f t="shared" si="1"/>
        <v>0.27452750532369669</v>
      </c>
      <c r="H93" s="25">
        <v>189278</v>
      </c>
      <c r="I93" s="25">
        <v>51884.87</v>
      </c>
      <c r="J93" s="25">
        <v>52907.25</v>
      </c>
      <c r="K93" s="25">
        <v>61366.79</v>
      </c>
      <c r="L93" s="25">
        <v>23119.09</v>
      </c>
      <c r="M93" s="25">
        <v>968.99839999999995</v>
      </c>
      <c r="N93" s="25">
        <v>188.87180000000001</v>
      </c>
      <c r="O93" s="25">
        <v>550.24509999999998</v>
      </c>
      <c r="P93" s="25">
        <v>220.78880000000001</v>
      </c>
      <c r="Q93" s="25">
        <v>9.0927340000000001</v>
      </c>
      <c r="R93" s="24">
        <f>COUNTIFS(H93,"&lt;=" &amp; housesum!$B$4 )</f>
        <v>0</v>
      </c>
      <c r="S93" s="24">
        <f>COUNTIFS(H93,"&gt;=" &amp; housesum!$B$5 )</f>
        <v>0</v>
      </c>
      <c r="T93" s="11"/>
    </row>
    <row r="94" spans="1:20" x14ac:dyDescent="0.35">
      <c r="A94" s="23">
        <v>93</v>
      </c>
      <c r="B94" s="25">
        <v>195785</v>
      </c>
      <c r="C94" s="25">
        <v>100779</v>
      </c>
      <c r="D94" s="25">
        <v>23710</v>
      </c>
      <c r="E94" s="25">
        <v>45965</v>
      </c>
      <c r="F94" s="25">
        <v>25331</v>
      </c>
      <c r="G94" s="26">
        <f t="shared" si="1"/>
        <v>0.51474321321858163</v>
      </c>
      <c r="H94" s="25">
        <v>196578.3</v>
      </c>
      <c r="I94" s="25">
        <v>101147.2</v>
      </c>
      <c r="J94" s="25">
        <v>23959.18</v>
      </c>
      <c r="K94" s="25">
        <v>46130.97</v>
      </c>
      <c r="L94" s="25">
        <v>25340.97</v>
      </c>
      <c r="M94" s="25">
        <v>793.31629999999996</v>
      </c>
      <c r="N94" s="25">
        <v>368.19690000000003</v>
      </c>
      <c r="O94" s="25">
        <v>249.1799</v>
      </c>
      <c r="P94" s="25">
        <v>165.9725</v>
      </c>
      <c r="Q94" s="25">
        <v>9.9666560000000004</v>
      </c>
      <c r="R94" s="24">
        <f>COUNTIFS(H94,"&lt;=" &amp; housesum!$B$4 )</f>
        <v>0</v>
      </c>
      <c r="S94" s="24">
        <f>COUNTIFS(H94,"&gt;=" &amp; housesum!$B$5 )</f>
        <v>0</v>
      </c>
      <c r="T94" s="11"/>
    </row>
    <row r="95" spans="1:20" x14ac:dyDescent="0.35">
      <c r="A95" s="23">
        <v>94</v>
      </c>
      <c r="B95" s="25">
        <v>185756</v>
      </c>
      <c r="C95" s="25">
        <v>100645</v>
      </c>
      <c r="D95" s="25">
        <v>25777</v>
      </c>
      <c r="E95" s="25">
        <v>42366</v>
      </c>
      <c r="F95" s="25">
        <v>16968</v>
      </c>
      <c r="G95" s="26">
        <f t="shared" si="1"/>
        <v>0.54181291586812808</v>
      </c>
      <c r="H95" s="25">
        <v>186554.3</v>
      </c>
      <c r="I95" s="25">
        <v>101012.7</v>
      </c>
      <c r="J95" s="25">
        <v>26047.9</v>
      </c>
      <c r="K95" s="25">
        <v>42518.98</v>
      </c>
      <c r="L95" s="25">
        <v>16974.68</v>
      </c>
      <c r="M95" s="25">
        <v>798.26369999999997</v>
      </c>
      <c r="N95" s="25">
        <v>367.70740000000001</v>
      </c>
      <c r="O95" s="25">
        <v>270.90300000000002</v>
      </c>
      <c r="P95" s="25">
        <v>152.977</v>
      </c>
      <c r="Q95" s="25">
        <v>6.6762800000000002</v>
      </c>
      <c r="R95" s="24">
        <f>COUNTIFS(H95,"&lt;=" &amp; housesum!$B$4 )</f>
        <v>0</v>
      </c>
      <c r="S95" s="24">
        <f>COUNTIFS(H95,"&gt;=" &amp; housesum!$B$5 )</f>
        <v>0</v>
      </c>
      <c r="T95" s="11"/>
    </row>
    <row r="96" spans="1:20" x14ac:dyDescent="0.35">
      <c r="A96" s="23">
        <v>95</v>
      </c>
      <c r="B96" s="25">
        <v>203993</v>
      </c>
      <c r="C96" s="25">
        <v>38168</v>
      </c>
      <c r="D96" s="25">
        <v>83226</v>
      </c>
      <c r="E96" s="25">
        <v>72684</v>
      </c>
      <c r="F96" s="25">
        <v>9915</v>
      </c>
      <c r="G96" s="26">
        <f t="shared" si="1"/>
        <v>0.18710445946674642</v>
      </c>
      <c r="H96" s="25">
        <v>205273.5</v>
      </c>
      <c r="I96" s="25">
        <v>38307.449999999997</v>
      </c>
      <c r="J96" s="25">
        <v>84100.66</v>
      </c>
      <c r="K96" s="25">
        <v>72946.45</v>
      </c>
      <c r="L96" s="25">
        <v>9918.9009999999998</v>
      </c>
      <c r="M96" s="25">
        <v>1280.462</v>
      </c>
      <c r="N96" s="25">
        <v>139.44730000000001</v>
      </c>
      <c r="O96" s="25">
        <v>874.66240000000005</v>
      </c>
      <c r="P96" s="25">
        <v>262.45060000000001</v>
      </c>
      <c r="Q96" s="25">
        <v>3.9012470000000001</v>
      </c>
      <c r="R96" s="24">
        <f>COUNTIFS(H96,"&lt;=" &amp; housesum!$B$4 )</f>
        <v>0</v>
      </c>
      <c r="S96" s="24">
        <f>COUNTIFS(H96,"&gt;=" &amp; housesum!$B$5 )</f>
        <v>1</v>
      </c>
      <c r="T96" s="11"/>
    </row>
    <row r="97" spans="1:21" x14ac:dyDescent="0.35">
      <c r="A97" s="23">
        <v>96</v>
      </c>
      <c r="B97" s="25">
        <v>188593</v>
      </c>
      <c r="C97" s="25">
        <v>99275</v>
      </c>
      <c r="D97" s="25">
        <v>36245</v>
      </c>
      <c r="E97" s="25">
        <v>37308</v>
      </c>
      <c r="F97" s="25">
        <v>15765</v>
      </c>
      <c r="G97" s="26">
        <f t="shared" si="1"/>
        <v>0.5263981165790883</v>
      </c>
      <c r="H97" s="25">
        <v>189477.5</v>
      </c>
      <c r="I97" s="25">
        <v>99637.7</v>
      </c>
      <c r="J97" s="25">
        <v>36625.919999999998</v>
      </c>
      <c r="K97" s="25">
        <v>37442.71</v>
      </c>
      <c r="L97" s="25">
        <v>15771.2</v>
      </c>
      <c r="M97" s="25">
        <v>884.53440000000001</v>
      </c>
      <c r="N97" s="25">
        <v>362.70209999999997</v>
      </c>
      <c r="O97" s="25">
        <v>380.91629999999998</v>
      </c>
      <c r="P97" s="25">
        <v>134.71340000000001</v>
      </c>
      <c r="Q97" s="25">
        <v>6.2029189999999996</v>
      </c>
      <c r="R97" s="24">
        <f>COUNTIFS(H97,"&lt;=" &amp; housesum!$B$4 )</f>
        <v>0</v>
      </c>
      <c r="S97" s="24">
        <f>COUNTIFS(H97,"&gt;=" &amp; housesum!$B$5 )</f>
        <v>0</v>
      </c>
      <c r="T97" s="11"/>
    </row>
    <row r="98" spans="1:21" x14ac:dyDescent="0.35">
      <c r="A98" s="23">
        <v>97</v>
      </c>
      <c r="B98" s="25">
        <v>189469</v>
      </c>
      <c r="C98" s="25">
        <v>110693</v>
      </c>
      <c r="D98" s="25">
        <v>25416</v>
      </c>
      <c r="E98" s="25">
        <v>39563</v>
      </c>
      <c r="F98" s="25">
        <v>13797</v>
      </c>
      <c r="G98" s="26">
        <f t="shared" si="1"/>
        <v>0.58422749895761317</v>
      </c>
      <c r="H98" s="25">
        <v>190288.8</v>
      </c>
      <c r="I98" s="25">
        <v>111097.4</v>
      </c>
      <c r="J98" s="25">
        <v>25683.11</v>
      </c>
      <c r="K98" s="25">
        <v>39705.86</v>
      </c>
      <c r="L98" s="25">
        <v>13802.43</v>
      </c>
      <c r="M98" s="25">
        <v>819.81169999999997</v>
      </c>
      <c r="N98" s="25">
        <v>404.41800000000001</v>
      </c>
      <c r="O98" s="25">
        <v>267.10910000000001</v>
      </c>
      <c r="P98" s="25">
        <v>142.85579999999999</v>
      </c>
      <c r="Q98" s="25">
        <v>5.4286849999999998</v>
      </c>
      <c r="R98" s="24">
        <f>COUNTIFS(H98,"&lt;=" &amp; housesum!$B$4 )</f>
        <v>0</v>
      </c>
      <c r="S98" s="24">
        <f>COUNTIFS(H98,"&gt;=" &amp; housesum!$B$5 )</f>
        <v>0</v>
      </c>
      <c r="T98" s="11"/>
      <c r="U98" s="20"/>
    </row>
    <row r="99" spans="1:21" x14ac:dyDescent="0.35">
      <c r="A99" s="23">
        <v>98</v>
      </c>
      <c r="B99" s="25">
        <v>184798</v>
      </c>
      <c r="C99" s="25">
        <v>123244</v>
      </c>
      <c r="D99" s="25">
        <v>10899</v>
      </c>
      <c r="E99" s="25">
        <v>24410</v>
      </c>
      <c r="F99" s="25">
        <v>26245</v>
      </c>
      <c r="G99" s="26">
        <f t="shared" si="1"/>
        <v>0.66691197956687842</v>
      </c>
      <c r="H99" s="25">
        <v>185461.3</v>
      </c>
      <c r="I99" s="25">
        <v>123694.3</v>
      </c>
      <c r="J99" s="25">
        <v>11013.54</v>
      </c>
      <c r="K99" s="25">
        <v>24498.14</v>
      </c>
      <c r="L99" s="25">
        <v>26255.33</v>
      </c>
      <c r="M99" s="25">
        <v>663.28300000000002</v>
      </c>
      <c r="N99" s="25">
        <v>450.2731</v>
      </c>
      <c r="O99" s="25">
        <v>114.5429</v>
      </c>
      <c r="P99" s="25">
        <v>88.140709999999999</v>
      </c>
      <c r="Q99" s="25">
        <v>10.32629</v>
      </c>
      <c r="R99" s="24">
        <f>COUNTIFS(H99,"&lt;=" &amp; housesum!$B$4 )</f>
        <v>0</v>
      </c>
      <c r="S99" s="24">
        <f>COUNTIFS(H99,"&gt;=" &amp; housesum!$B$5 )</f>
        <v>0</v>
      </c>
      <c r="T99" s="11"/>
    </row>
    <row r="100" spans="1:21" x14ac:dyDescent="0.35">
      <c r="A100" s="23">
        <v>99</v>
      </c>
      <c r="B100" s="25">
        <v>194917</v>
      </c>
      <c r="C100" s="25">
        <v>103078</v>
      </c>
      <c r="D100" s="25">
        <v>22889</v>
      </c>
      <c r="E100" s="25">
        <v>56589</v>
      </c>
      <c r="F100" s="25">
        <v>12361</v>
      </c>
      <c r="G100" s="26">
        <f t="shared" si="1"/>
        <v>0.52883022004237701</v>
      </c>
      <c r="H100" s="25">
        <v>195743.3</v>
      </c>
      <c r="I100" s="25">
        <v>103454.6</v>
      </c>
      <c r="J100" s="25">
        <v>23129.55</v>
      </c>
      <c r="K100" s="25">
        <v>56793.33</v>
      </c>
      <c r="L100" s="25">
        <v>12365.86</v>
      </c>
      <c r="M100" s="25">
        <v>826.34559999999999</v>
      </c>
      <c r="N100" s="25">
        <v>376.59629999999999</v>
      </c>
      <c r="O100" s="25">
        <v>240.55170000000001</v>
      </c>
      <c r="P100" s="25">
        <v>204.33410000000001</v>
      </c>
      <c r="Q100" s="25">
        <v>4.8636809999999997</v>
      </c>
      <c r="R100" s="24">
        <f>COUNTIFS(H100,"&lt;=" &amp; housesum!$B$4 )</f>
        <v>0</v>
      </c>
      <c r="S100" s="24">
        <f>COUNTIFS(H100,"&gt;=" &amp; housesum!$B$5 )</f>
        <v>0</v>
      </c>
      <c r="T100" s="11"/>
    </row>
    <row r="101" spans="1:21" x14ac:dyDescent="0.35">
      <c r="A101" s="23">
        <v>100</v>
      </c>
      <c r="B101" s="25">
        <v>184691</v>
      </c>
      <c r="C101" s="25">
        <v>20423</v>
      </c>
      <c r="D101" s="25">
        <v>67407</v>
      </c>
      <c r="E101" s="25">
        <v>92108</v>
      </c>
      <c r="F101" s="25">
        <v>4753</v>
      </c>
      <c r="G101" s="26">
        <f t="shared" si="1"/>
        <v>0.11057929189835997</v>
      </c>
      <c r="H101" s="25">
        <v>185865.5</v>
      </c>
      <c r="I101" s="25">
        <v>20487.55</v>
      </c>
      <c r="J101" s="25">
        <v>68214.25</v>
      </c>
      <c r="K101" s="25">
        <v>92409.02</v>
      </c>
      <c r="L101" s="25">
        <v>4754.6909999999998</v>
      </c>
      <c r="M101" s="25">
        <v>1174.5160000000001</v>
      </c>
      <c r="N101" s="25">
        <v>64.55386</v>
      </c>
      <c r="O101" s="25">
        <v>807.25</v>
      </c>
      <c r="P101" s="25">
        <v>301.02089999999998</v>
      </c>
      <c r="Q101" s="25">
        <v>1.691427</v>
      </c>
      <c r="R101" s="24">
        <f>COUNTIFS(H101,"&lt;=" &amp; housesum!$B$4 )</f>
        <v>0</v>
      </c>
      <c r="S101" s="24">
        <f>COUNTIFS(H101,"&gt;=" &amp; housesum!$B$5 )</f>
        <v>0</v>
      </c>
      <c r="T101" s="11"/>
    </row>
    <row r="102" spans="1:21" x14ac:dyDescent="0.35">
      <c r="A102" s="23">
        <v>101</v>
      </c>
      <c r="B102" s="25">
        <v>189881</v>
      </c>
      <c r="C102" s="25">
        <v>43094</v>
      </c>
      <c r="D102" s="25">
        <v>62645</v>
      </c>
      <c r="E102" s="25">
        <v>56840</v>
      </c>
      <c r="F102" s="25">
        <v>27302</v>
      </c>
      <c r="G102" s="26">
        <f t="shared" si="1"/>
        <v>0.22695267035669708</v>
      </c>
      <c r="H102" s="25">
        <v>190912.8</v>
      </c>
      <c r="I102" s="25">
        <v>43251.44</v>
      </c>
      <c r="J102" s="25">
        <v>63303.37</v>
      </c>
      <c r="K102" s="25">
        <v>57045.24</v>
      </c>
      <c r="L102" s="25">
        <v>27312.74</v>
      </c>
      <c r="M102" s="25">
        <v>1031.7940000000001</v>
      </c>
      <c r="N102" s="25">
        <v>157.4444</v>
      </c>
      <c r="O102" s="25">
        <v>658.36659999999995</v>
      </c>
      <c r="P102" s="25">
        <v>205.2405</v>
      </c>
      <c r="Q102" s="25">
        <v>10.742100000000001</v>
      </c>
      <c r="R102" s="24">
        <f>COUNTIFS(H102,"&lt;=" &amp; housesum!$B$4 )</f>
        <v>0</v>
      </c>
      <c r="S102" s="24">
        <f>COUNTIFS(H102,"&gt;=" &amp; housesum!$B$5 )</f>
        <v>0</v>
      </c>
      <c r="T102" s="11"/>
    </row>
    <row r="103" spans="1:21" x14ac:dyDescent="0.35">
      <c r="A103" s="23">
        <v>102</v>
      </c>
      <c r="B103" s="25">
        <v>187686</v>
      </c>
      <c r="C103" s="25">
        <v>49338</v>
      </c>
      <c r="D103" s="25">
        <v>49090</v>
      </c>
      <c r="E103" s="25">
        <v>62693</v>
      </c>
      <c r="F103" s="25">
        <v>26565</v>
      </c>
      <c r="G103" s="26">
        <f t="shared" si="1"/>
        <v>0.26287522777404815</v>
      </c>
      <c r="H103" s="25">
        <v>188644.2</v>
      </c>
      <c r="I103" s="25">
        <v>49493.95</v>
      </c>
      <c r="J103" s="25">
        <v>49677.89</v>
      </c>
      <c r="K103" s="25">
        <v>62897.89</v>
      </c>
      <c r="L103" s="25">
        <v>26574.45</v>
      </c>
      <c r="M103" s="25">
        <v>958.18240000000003</v>
      </c>
      <c r="N103" s="25">
        <v>155.94970000000001</v>
      </c>
      <c r="O103" s="25">
        <v>587.89</v>
      </c>
      <c r="P103" s="25">
        <v>204.8888</v>
      </c>
      <c r="Q103" s="25">
        <v>9.453633</v>
      </c>
      <c r="R103" s="24">
        <f>COUNTIFS(H103,"&lt;=" &amp; housesum!$B$4 )</f>
        <v>0</v>
      </c>
      <c r="S103" s="24">
        <f>COUNTIFS(H103,"&gt;=" &amp; housesum!$B$5 )</f>
        <v>0</v>
      </c>
      <c r="T103" s="11"/>
    </row>
    <row r="104" spans="1:21" x14ac:dyDescent="0.35">
      <c r="A104" s="23">
        <v>103</v>
      </c>
      <c r="B104" s="25">
        <v>184639</v>
      </c>
      <c r="C104" s="25">
        <v>41003</v>
      </c>
      <c r="D104" s="25">
        <v>17774</v>
      </c>
      <c r="E104" s="25">
        <v>114078</v>
      </c>
      <c r="F104" s="25">
        <v>11784</v>
      </c>
      <c r="G104" s="26">
        <f t="shared" si="1"/>
        <v>0.22207117672864346</v>
      </c>
      <c r="H104" s="25">
        <v>185358.5</v>
      </c>
      <c r="I104" s="25">
        <v>41132.6</v>
      </c>
      <c r="J104" s="25">
        <v>17986.86</v>
      </c>
      <c r="K104" s="25">
        <v>114450.8</v>
      </c>
      <c r="L104" s="25">
        <v>11788.19</v>
      </c>
      <c r="M104" s="25">
        <v>719.47699999999998</v>
      </c>
      <c r="N104" s="25">
        <v>129.60409999999999</v>
      </c>
      <c r="O104" s="25">
        <v>212.8571</v>
      </c>
      <c r="P104" s="25">
        <v>372.82220000000001</v>
      </c>
      <c r="Q104" s="25">
        <v>4.1935739999999999</v>
      </c>
      <c r="R104" s="24">
        <f>COUNTIFS(H104,"&lt;=" &amp; housesum!$B$4 )</f>
        <v>0</v>
      </c>
      <c r="S104" s="24">
        <f>COUNTIFS(H104,"&gt;=" &amp; housesum!$B$5 )</f>
        <v>0</v>
      </c>
      <c r="T104" s="11"/>
    </row>
    <row r="105" spans="1:21" x14ac:dyDescent="0.35">
      <c r="A105" s="23">
        <v>104</v>
      </c>
      <c r="B105" s="25">
        <v>185500</v>
      </c>
      <c r="C105" s="25">
        <v>27556</v>
      </c>
      <c r="D105" s="25">
        <v>20904</v>
      </c>
      <c r="E105" s="25">
        <v>129906</v>
      </c>
      <c r="F105" s="25">
        <v>7134</v>
      </c>
      <c r="G105" s="26">
        <f t="shared" si="1"/>
        <v>0.14854986522911051</v>
      </c>
      <c r="H105" s="25">
        <v>186264.5</v>
      </c>
      <c r="I105" s="25">
        <v>27643.1</v>
      </c>
      <c r="J105" s="25">
        <v>21154.34</v>
      </c>
      <c r="K105" s="25">
        <v>130330.5</v>
      </c>
      <c r="L105" s="25">
        <v>7136.5389999999998</v>
      </c>
      <c r="M105" s="25">
        <v>764.53030000000001</v>
      </c>
      <c r="N105" s="25">
        <v>87.100129999999993</v>
      </c>
      <c r="O105" s="25">
        <v>250.34129999999999</v>
      </c>
      <c r="P105" s="25">
        <v>424.54989999999998</v>
      </c>
      <c r="Q105" s="25">
        <v>2.5387249999999999</v>
      </c>
      <c r="R105" s="24">
        <f>COUNTIFS(H105,"&lt;=" &amp; housesum!$B$4 )</f>
        <v>0</v>
      </c>
      <c r="S105" s="24">
        <f>COUNTIFS(H105,"&gt;=" &amp; housesum!$B$5 )</f>
        <v>0</v>
      </c>
      <c r="T105" s="11"/>
    </row>
    <row r="106" spans="1:21" x14ac:dyDescent="0.35">
      <c r="A106" s="23">
        <v>105</v>
      </c>
      <c r="B106" s="25">
        <v>191644</v>
      </c>
      <c r="C106" s="25">
        <v>40192</v>
      </c>
      <c r="D106" s="25">
        <v>26503</v>
      </c>
      <c r="E106" s="25">
        <v>96154</v>
      </c>
      <c r="F106" s="25">
        <v>28795</v>
      </c>
      <c r="G106" s="26">
        <f t="shared" si="1"/>
        <v>0.20972219323328672</v>
      </c>
      <c r="H106" s="25">
        <v>192412.9</v>
      </c>
      <c r="I106" s="25">
        <v>40319.040000000001</v>
      </c>
      <c r="J106" s="25">
        <v>26820.39</v>
      </c>
      <c r="K106" s="25">
        <v>96468.24</v>
      </c>
      <c r="L106" s="25">
        <v>28805.25</v>
      </c>
      <c r="M106" s="25">
        <v>768.92510000000004</v>
      </c>
      <c r="N106" s="25">
        <v>127.0406</v>
      </c>
      <c r="O106" s="25">
        <v>317.39359999999999</v>
      </c>
      <c r="P106" s="25">
        <v>314.24380000000002</v>
      </c>
      <c r="Q106" s="25">
        <v>10.247120000000001</v>
      </c>
      <c r="R106" s="24">
        <f>COUNTIFS(H106,"&lt;=" &amp; housesum!$B$4 )</f>
        <v>0</v>
      </c>
      <c r="S106" s="24">
        <f>COUNTIFS(H106,"&gt;=" &amp; housesum!$B$5 )</f>
        <v>0</v>
      </c>
      <c r="T106" s="11"/>
    </row>
    <row r="107" spans="1:21" x14ac:dyDescent="0.35">
      <c r="A107" s="23">
        <v>106</v>
      </c>
      <c r="B107" s="25">
        <v>191093</v>
      </c>
      <c r="C107" s="25">
        <v>106647</v>
      </c>
      <c r="D107" s="25">
        <v>19694</v>
      </c>
      <c r="E107" s="25">
        <v>31164</v>
      </c>
      <c r="F107" s="25">
        <v>33588</v>
      </c>
      <c r="G107" s="26">
        <f t="shared" si="1"/>
        <v>0.55808951662279627</v>
      </c>
      <c r="H107" s="25">
        <v>191373.1</v>
      </c>
      <c r="I107" s="25">
        <v>106806.9</v>
      </c>
      <c r="J107" s="25">
        <v>19764.78</v>
      </c>
      <c r="K107" s="25">
        <v>31211.4</v>
      </c>
      <c r="L107" s="25">
        <v>33590.06</v>
      </c>
      <c r="M107" s="25">
        <v>280.10910000000001</v>
      </c>
      <c r="N107" s="25">
        <v>159.86750000000001</v>
      </c>
      <c r="O107" s="25">
        <v>70.780079999999998</v>
      </c>
      <c r="P107" s="25">
        <v>47.399700000000003</v>
      </c>
      <c r="Q107" s="25">
        <v>2.0618439999999998</v>
      </c>
      <c r="R107" s="24">
        <f>COUNTIFS(H107,"&lt;=" &amp; housesum!$B$4 )</f>
        <v>0</v>
      </c>
      <c r="S107" s="24">
        <f>COUNTIFS(H107,"&gt;=" &amp; housesum!$B$5 )</f>
        <v>0</v>
      </c>
      <c r="T107" s="11"/>
    </row>
    <row r="108" spans="1:21" x14ac:dyDescent="0.35">
      <c r="A108" s="23">
        <v>107</v>
      </c>
      <c r="B108" s="25">
        <v>184603</v>
      </c>
      <c r="C108" s="25">
        <v>35618</v>
      </c>
      <c r="D108" s="25">
        <v>28075</v>
      </c>
      <c r="E108" s="25">
        <v>113702</v>
      </c>
      <c r="F108" s="25">
        <v>7208</v>
      </c>
      <c r="G108" s="26">
        <f t="shared" si="1"/>
        <v>0.19294377664501661</v>
      </c>
      <c r="H108" s="25">
        <v>185426</v>
      </c>
      <c r="I108" s="25">
        <v>35730.58</v>
      </c>
      <c r="J108" s="25">
        <v>28411.22</v>
      </c>
      <c r="K108" s="25">
        <v>114073.60000000001</v>
      </c>
      <c r="L108" s="25">
        <v>7210.5649999999996</v>
      </c>
      <c r="M108" s="25">
        <v>822.9606</v>
      </c>
      <c r="N108" s="25">
        <v>112.58280000000001</v>
      </c>
      <c r="O108" s="25">
        <v>336.21940000000001</v>
      </c>
      <c r="P108" s="25">
        <v>371.59320000000002</v>
      </c>
      <c r="Q108" s="25">
        <v>2.56507</v>
      </c>
      <c r="R108" s="24">
        <f>COUNTIFS(H108,"&lt;=" &amp; housesum!$B$4 )</f>
        <v>0</v>
      </c>
      <c r="S108" s="24">
        <f>COUNTIFS(H108,"&gt;=" &amp; housesum!$B$5 )</f>
        <v>0</v>
      </c>
      <c r="T108" s="11"/>
    </row>
    <row r="109" spans="1:21" x14ac:dyDescent="0.35">
      <c r="A109" s="23">
        <v>108</v>
      </c>
      <c r="B109" s="25">
        <v>187178</v>
      </c>
      <c r="C109" s="25">
        <v>141476</v>
      </c>
      <c r="D109" s="25">
        <v>9380</v>
      </c>
      <c r="E109" s="25">
        <v>19963</v>
      </c>
      <c r="F109" s="25">
        <v>16359</v>
      </c>
      <c r="G109" s="26">
        <f t="shared" si="1"/>
        <v>0.75583669020931943</v>
      </c>
      <c r="H109" s="25">
        <v>187808.6</v>
      </c>
      <c r="I109" s="25">
        <v>141923.20000000001</v>
      </c>
      <c r="J109" s="25">
        <v>9492.3330000000005</v>
      </c>
      <c r="K109" s="25">
        <v>20028.240000000002</v>
      </c>
      <c r="L109" s="25">
        <v>16364.82</v>
      </c>
      <c r="M109" s="25">
        <v>630.57929999999999</v>
      </c>
      <c r="N109" s="25">
        <v>447.18340000000001</v>
      </c>
      <c r="O109" s="25">
        <v>112.3326</v>
      </c>
      <c r="P109" s="25">
        <v>65.241759999999999</v>
      </c>
      <c r="Q109" s="25">
        <v>5.8216530000000004</v>
      </c>
      <c r="R109" s="24">
        <f>COUNTIFS(H109,"&lt;=" &amp; housesum!$B$4 )</f>
        <v>0</v>
      </c>
      <c r="S109" s="24">
        <f>COUNTIFS(H109,"&gt;=" &amp; housesum!$B$5 )</f>
        <v>0</v>
      </c>
      <c r="T109" s="11"/>
    </row>
    <row r="110" spans="1:21" s="3" customFormat="1" x14ac:dyDescent="0.35">
      <c r="A110" s="23">
        <v>109</v>
      </c>
      <c r="B110" s="25">
        <v>184600</v>
      </c>
      <c r="C110" s="25">
        <v>27533</v>
      </c>
      <c r="D110" s="25">
        <v>98766</v>
      </c>
      <c r="E110" s="25">
        <v>53274</v>
      </c>
      <c r="F110" s="25">
        <v>5027</v>
      </c>
      <c r="G110" s="26">
        <f t="shared" si="1"/>
        <v>0.14914951245937161</v>
      </c>
      <c r="H110" s="25">
        <v>184201.1</v>
      </c>
      <c r="I110" s="25">
        <v>26803.45</v>
      </c>
      <c r="J110" s="25">
        <v>99280.89</v>
      </c>
      <c r="K110" s="25">
        <v>53096.959999999999</v>
      </c>
      <c r="L110" s="25">
        <v>5019.7860000000001</v>
      </c>
      <c r="M110" s="25">
        <v>-398.9033</v>
      </c>
      <c r="N110" s="25">
        <v>-729.54549999999995</v>
      </c>
      <c r="O110" s="25">
        <v>514.89400000000001</v>
      </c>
      <c r="P110" s="25">
        <v>-177.03749999999999</v>
      </c>
      <c r="Q110" s="25">
        <v>-7.2142580000000001</v>
      </c>
      <c r="R110" s="24">
        <f>COUNTIFS(H110,"&lt;=" &amp; housesum!$B$4 )</f>
        <v>1</v>
      </c>
      <c r="S110" s="24">
        <f>COUNTIFS(H110,"&gt;=" &amp; housesum!$B$5 )</f>
        <v>0</v>
      </c>
      <c r="T110" s="11"/>
    </row>
    <row r="111" spans="1:21" x14ac:dyDescent="0.35">
      <c r="A111" s="23">
        <v>110</v>
      </c>
      <c r="B111" s="25">
        <v>184614</v>
      </c>
      <c r="C111" s="25">
        <v>12380</v>
      </c>
      <c r="D111" s="25">
        <v>61546</v>
      </c>
      <c r="E111" s="25">
        <v>108452</v>
      </c>
      <c r="F111" s="25">
        <v>2236</v>
      </c>
      <c r="G111" s="26">
        <f t="shared" si="1"/>
        <v>6.7058836274605391E-2</v>
      </c>
      <c r="H111" s="25">
        <v>185745.4</v>
      </c>
      <c r="I111" s="25">
        <v>12419.13</v>
      </c>
      <c r="J111" s="25">
        <v>62283.06</v>
      </c>
      <c r="K111" s="25">
        <v>108806.39999999999</v>
      </c>
      <c r="L111" s="25">
        <v>2236.7959999999998</v>
      </c>
      <c r="M111" s="25">
        <v>1131.422</v>
      </c>
      <c r="N111" s="25">
        <v>39.131239999999998</v>
      </c>
      <c r="O111" s="25">
        <v>737.06010000000003</v>
      </c>
      <c r="P111" s="25">
        <v>354.43520000000001</v>
      </c>
      <c r="Q111" s="25">
        <v>0.79570470000000004</v>
      </c>
      <c r="R111" s="24">
        <f>COUNTIFS(H111,"&lt;=" &amp; housesum!$B$4 )</f>
        <v>0</v>
      </c>
      <c r="S111" s="24">
        <f>COUNTIFS(H111,"&gt;=" &amp; housesum!$B$5 )</f>
        <v>0</v>
      </c>
      <c r="T111" s="11"/>
    </row>
    <row r="112" spans="1:21" x14ac:dyDescent="0.35">
      <c r="A112" s="23">
        <v>111</v>
      </c>
      <c r="B112" s="25">
        <v>184755</v>
      </c>
      <c r="C112" s="25">
        <v>23016</v>
      </c>
      <c r="D112" s="25">
        <v>90190</v>
      </c>
      <c r="E112" s="25">
        <v>64002</v>
      </c>
      <c r="F112" s="25">
        <v>7547</v>
      </c>
      <c r="G112" s="26">
        <f t="shared" si="1"/>
        <v>0.1245757895591459</v>
      </c>
      <c r="H112" s="25">
        <v>186119.7</v>
      </c>
      <c r="I112" s="25">
        <v>23088.75</v>
      </c>
      <c r="J112" s="25">
        <v>91270.09</v>
      </c>
      <c r="K112" s="25">
        <v>64211.17</v>
      </c>
      <c r="L112" s="25">
        <v>7549.6859999999997</v>
      </c>
      <c r="M112" s="25">
        <v>1364.6959999999999</v>
      </c>
      <c r="N112" s="25">
        <v>72.749930000000006</v>
      </c>
      <c r="O112" s="25">
        <v>1080.0940000000001</v>
      </c>
      <c r="P112" s="25">
        <v>209.1669</v>
      </c>
      <c r="Q112" s="25">
        <v>2.6857280000000001</v>
      </c>
      <c r="R112" s="24">
        <f>COUNTIFS(H112,"&lt;=" &amp; housesum!$B$4 )</f>
        <v>0</v>
      </c>
      <c r="S112" s="24">
        <f>COUNTIFS(H112,"&gt;=" &amp; housesum!$B$5 )</f>
        <v>0</v>
      </c>
      <c r="T112" s="11"/>
    </row>
    <row r="113" spans="1:20" x14ac:dyDescent="0.35">
      <c r="A113" s="23">
        <v>112</v>
      </c>
      <c r="B113" s="25">
        <v>185204</v>
      </c>
      <c r="C113" s="25">
        <v>101216</v>
      </c>
      <c r="D113" s="25">
        <v>23600</v>
      </c>
      <c r="E113" s="25">
        <v>33622</v>
      </c>
      <c r="F113" s="25">
        <v>26766</v>
      </c>
      <c r="G113" s="26">
        <f t="shared" si="1"/>
        <v>0.54651087449515134</v>
      </c>
      <c r="H113" s="25">
        <v>185926</v>
      </c>
      <c r="I113" s="25">
        <v>101535.9</v>
      </c>
      <c r="J113" s="25">
        <v>23882.63</v>
      </c>
      <c r="K113" s="25">
        <v>33731.879999999997</v>
      </c>
      <c r="L113" s="25">
        <v>26775.53</v>
      </c>
      <c r="M113" s="25">
        <v>721.96190000000001</v>
      </c>
      <c r="N113" s="25">
        <v>319.92790000000002</v>
      </c>
      <c r="O113" s="25">
        <v>282.62790000000001</v>
      </c>
      <c r="P113" s="25">
        <v>109.8811</v>
      </c>
      <c r="Q113" s="25">
        <v>9.5251420000000007</v>
      </c>
      <c r="R113" s="24">
        <f>COUNTIFS(H113,"&lt;=" &amp; housesum!$B$4 )</f>
        <v>0</v>
      </c>
      <c r="S113" s="24">
        <f>COUNTIFS(H113,"&gt;=" &amp; housesum!$B$5 )</f>
        <v>0</v>
      </c>
      <c r="T113" s="11"/>
    </row>
    <row r="114" spans="1:20" x14ac:dyDescent="0.35">
      <c r="A114" s="23">
        <v>113</v>
      </c>
      <c r="B114" s="25">
        <v>185211</v>
      </c>
      <c r="C114" s="25">
        <v>51198</v>
      </c>
      <c r="D114" s="25">
        <v>47080</v>
      </c>
      <c r="E114" s="25">
        <v>67228</v>
      </c>
      <c r="F114" s="25">
        <v>19705</v>
      </c>
      <c r="G114" s="26">
        <f t="shared" si="1"/>
        <v>0.27643066556522022</v>
      </c>
      <c r="H114" s="25">
        <v>186163.4</v>
      </c>
      <c r="I114" s="25">
        <v>51359.83</v>
      </c>
      <c r="J114" s="25">
        <v>47643.82</v>
      </c>
      <c r="K114" s="25">
        <v>67447.710000000006</v>
      </c>
      <c r="L114" s="25">
        <v>19712.009999999998</v>
      </c>
      <c r="M114" s="25">
        <v>952.37009999999998</v>
      </c>
      <c r="N114" s="25">
        <v>161.8288</v>
      </c>
      <c r="O114" s="25">
        <v>563.81880000000001</v>
      </c>
      <c r="P114" s="25">
        <v>219.71010000000001</v>
      </c>
      <c r="Q114" s="25">
        <v>7.0123660000000001</v>
      </c>
      <c r="R114" s="24">
        <f>COUNTIFS(H114,"&lt;=" &amp; housesum!$B$4 )</f>
        <v>0</v>
      </c>
      <c r="S114" s="24">
        <f>COUNTIFS(H114,"&gt;=" &amp; housesum!$B$5 )</f>
        <v>0</v>
      </c>
      <c r="T114" s="11"/>
    </row>
    <row r="115" spans="1:20" x14ac:dyDescent="0.35">
      <c r="A115" s="23">
        <v>114</v>
      </c>
      <c r="B115" s="25">
        <v>184649</v>
      </c>
      <c r="C115" s="25">
        <v>84188</v>
      </c>
      <c r="D115" s="25">
        <v>24924</v>
      </c>
      <c r="E115" s="25">
        <v>59475</v>
      </c>
      <c r="F115" s="25">
        <v>16062</v>
      </c>
      <c r="G115" s="26">
        <f t="shared" si="1"/>
        <v>0.45593531511137347</v>
      </c>
      <c r="H115" s="25">
        <v>185413.7</v>
      </c>
      <c r="I115" s="25">
        <v>84454.11</v>
      </c>
      <c r="J115" s="25">
        <v>25222.48</v>
      </c>
      <c r="K115" s="25">
        <v>59669.37</v>
      </c>
      <c r="L115" s="25">
        <v>16067.72</v>
      </c>
      <c r="M115" s="25">
        <v>764.67740000000003</v>
      </c>
      <c r="N115" s="25">
        <v>266.10509999999999</v>
      </c>
      <c r="O115" s="25">
        <v>298.48390000000001</v>
      </c>
      <c r="P115" s="25">
        <v>194.37209999999999</v>
      </c>
      <c r="Q115" s="25">
        <v>5.7159430000000002</v>
      </c>
      <c r="R115" s="24">
        <f>COUNTIFS(H115,"&lt;=" &amp; housesum!$B$4 )</f>
        <v>0</v>
      </c>
      <c r="S115" s="24">
        <f>COUNTIFS(H115,"&gt;=" &amp; housesum!$B$5 )</f>
        <v>0</v>
      </c>
      <c r="T115" s="11"/>
    </row>
    <row r="116" spans="1:20" x14ac:dyDescent="0.35">
      <c r="A116" s="23">
        <v>115</v>
      </c>
      <c r="B116" s="25">
        <v>198565</v>
      </c>
      <c r="C116" s="25">
        <v>69850</v>
      </c>
      <c r="D116" s="25">
        <v>26615</v>
      </c>
      <c r="E116" s="25">
        <v>43178</v>
      </c>
      <c r="F116" s="25">
        <v>58922</v>
      </c>
      <c r="G116" s="26">
        <f t="shared" si="1"/>
        <v>0.35177397829426132</v>
      </c>
      <c r="H116" s="25">
        <v>199266.6</v>
      </c>
      <c r="I116" s="25">
        <v>70070.78</v>
      </c>
      <c r="J116" s="25">
        <v>26933.73</v>
      </c>
      <c r="K116" s="25">
        <v>43319.11</v>
      </c>
      <c r="L116" s="25">
        <v>58942.97</v>
      </c>
      <c r="M116" s="25">
        <v>701.59960000000001</v>
      </c>
      <c r="N116" s="25">
        <v>220.785</v>
      </c>
      <c r="O116" s="25">
        <v>318.73489999999998</v>
      </c>
      <c r="P116" s="25">
        <v>141.1114</v>
      </c>
      <c r="Q116" s="25">
        <v>20.968399999999999</v>
      </c>
      <c r="R116" s="24">
        <f>COUNTIFS(H116,"&lt;=" &amp; housesum!$B$4 )</f>
        <v>0</v>
      </c>
      <c r="S116" s="24">
        <f>COUNTIFS(H116,"&gt;=" &amp; housesum!$B$5 )</f>
        <v>0</v>
      </c>
      <c r="T116" s="11"/>
    </row>
    <row r="117" spans="1:20" x14ac:dyDescent="0.35">
      <c r="A117" s="23">
        <v>116</v>
      </c>
      <c r="B117" s="25">
        <v>199721</v>
      </c>
      <c r="C117" s="25">
        <v>43825</v>
      </c>
      <c r="D117" s="25">
        <v>15124</v>
      </c>
      <c r="E117" s="25">
        <v>122421</v>
      </c>
      <c r="F117" s="25">
        <v>18351</v>
      </c>
      <c r="G117" s="26">
        <f t="shared" si="1"/>
        <v>0.21943110639341881</v>
      </c>
      <c r="H117" s="25">
        <v>200649.60000000001</v>
      </c>
      <c r="I117" s="25">
        <v>43937.99</v>
      </c>
      <c r="J117" s="25">
        <v>15281.15</v>
      </c>
      <c r="K117" s="25">
        <v>123073.4</v>
      </c>
      <c r="L117" s="25">
        <v>18357.07</v>
      </c>
      <c r="M117" s="25">
        <v>928.61400000000003</v>
      </c>
      <c r="N117" s="25">
        <v>112.9855</v>
      </c>
      <c r="O117" s="25">
        <v>157.1473</v>
      </c>
      <c r="P117" s="25">
        <v>652.40790000000004</v>
      </c>
      <c r="Q117" s="25">
        <v>6.0731529999999996</v>
      </c>
      <c r="R117" s="24">
        <f>COUNTIFS(H117,"&lt;=" &amp; housesum!$B$4 )</f>
        <v>0</v>
      </c>
      <c r="S117" s="24">
        <f>COUNTIFS(H117,"&gt;=" &amp; housesum!$B$5 )</f>
        <v>0</v>
      </c>
      <c r="T117" s="11"/>
    </row>
    <row r="118" spans="1:20" x14ac:dyDescent="0.35">
      <c r="A118" s="23">
        <v>117</v>
      </c>
      <c r="B118" s="25">
        <v>203057</v>
      </c>
      <c r="C118" s="25">
        <v>36076</v>
      </c>
      <c r="D118" s="25">
        <v>15482</v>
      </c>
      <c r="E118" s="25">
        <v>142420</v>
      </c>
      <c r="F118" s="25">
        <v>9079</v>
      </c>
      <c r="G118" s="26">
        <f t="shared" si="1"/>
        <v>0.17766439965132944</v>
      </c>
      <c r="H118" s="25">
        <v>202053.2</v>
      </c>
      <c r="I118" s="25">
        <v>35712.83</v>
      </c>
      <c r="J118" s="25">
        <v>15194.25</v>
      </c>
      <c r="K118" s="25">
        <v>142071.1</v>
      </c>
      <c r="L118" s="25">
        <v>9075.0020000000004</v>
      </c>
      <c r="M118" s="25">
        <v>-1003.795</v>
      </c>
      <c r="N118" s="25">
        <v>-363.1653</v>
      </c>
      <c r="O118" s="25">
        <v>-287.74630000000002</v>
      </c>
      <c r="P118" s="25">
        <v>-348.88589999999999</v>
      </c>
      <c r="Q118" s="25">
        <v>-3.997738</v>
      </c>
      <c r="R118" s="24">
        <f>COUNTIFS(H118,"&lt;=" &amp; housesum!$B$4 )</f>
        <v>0</v>
      </c>
      <c r="S118" s="24">
        <f>COUNTIFS(H118,"&gt;=" &amp; housesum!$B$5 )</f>
        <v>0</v>
      </c>
      <c r="T118" s="11"/>
    </row>
    <row r="119" spans="1:20" s="3" customFormat="1" x14ac:dyDescent="0.35">
      <c r="A119" s="23">
        <v>118</v>
      </c>
      <c r="B119" s="25">
        <v>203245</v>
      </c>
      <c r="C119" s="25">
        <v>55358</v>
      </c>
      <c r="D119" s="25">
        <v>11055</v>
      </c>
      <c r="E119" s="25">
        <v>128783</v>
      </c>
      <c r="F119" s="25">
        <v>8049</v>
      </c>
      <c r="G119" s="26">
        <f t="shared" si="1"/>
        <v>0.2723707840291274</v>
      </c>
      <c r="H119" s="25">
        <v>204191.6</v>
      </c>
      <c r="I119" s="25">
        <v>55500.72</v>
      </c>
      <c r="J119" s="25">
        <v>11169.87</v>
      </c>
      <c r="K119" s="25">
        <v>129469.3</v>
      </c>
      <c r="L119" s="25">
        <v>8051.6639999999998</v>
      </c>
      <c r="M119" s="25">
        <v>946.56299999999999</v>
      </c>
      <c r="N119" s="25">
        <v>142.71870000000001</v>
      </c>
      <c r="O119" s="25">
        <v>114.86799999999999</v>
      </c>
      <c r="P119" s="25">
        <v>686.3125</v>
      </c>
      <c r="Q119" s="25">
        <v>2.6637059999999999</v>
      </c>
      <c r="R119" s="24">
        <f>COUNTIFS(H119,"&lt;=" &amp; housesum!$B$4 )</f>
        <v>0</v>
      </c>
      <c r="S119" s="24">
        <f>COUNTIFS(H119,"&gt;=" &amp; housesum!$B$5 )</f>
        <v>1</v>
      </c>
      <c r="T119" s="11"/>
    </row>
    <row r="120" spans="1:20" x14ac:dyDescent="0.35">
      <c r="A120" s="23">
        <v>119</v>
      </c>
      <c r="B120" s="25">
        <v>201534</v>
      </c>
      <c r="C120" s="25">
        <v>34999</v>
      </c>
      <c r="D120" s="25">
        <v>20171</v>
      </c>
      <c r="E120" s="25">
        <v>139662</v>
      </c>
      <c r="F120" s="25">
        <v>6702</v>
      </c>
      <c r="G120" s="26">
        <f t="shared" si="1"/>
        <v>0.17366300475354035</v>
      </c>
      <c r="H120" s="25">
        <v>202580.3</v>
      </c>
      <c r="I120" s="25">
        <v>35089.230000000003</v>
      </c>
      <c r="J120" s="25">
        <v>20380.59</v>
      </c>
      <c r="K120" s="25">
        <v>140406.29999999999</v>
      </c>
      <c r="L120" s="25">
        <v>6704.2179999999998</v>
      </c>
      <c r="M120" s="25">
        <v>1046.327</v>
      </c>
      <c r="N120" s="25">
        <v>90.231120000000004</v>
      </c>
      <c r="O120" s="25">
        <v>209.58860000000001</v>
      </c>
      <c r="P120" s="25">
        <v>744.28880000000004</v>
      </c>
      <c r="Q120" s="25">
        <v>2.217924</v>
      </c>
      <c r="R120" s="24">
        <f>COUNTIFS(H120,"&lt;=" &amp; housesum!$B$4 )</f>
        <v>0</v>
      </c>
      <c r="S120" s="24">
        <f>COUNTIFS(H120,"&gt;=" &amp; housesum!$B$5 )</f>
        <v>0</v>
      </c>
      <c r="T120" s="11"/>
    </row>
    <row r="121" spans="1:20" x14ac:dyDescent="0.35">
      <c r="A121" s="23">
        <v>120</v>
      </c>
      <c r="B121" s="25">
        <v>200262</v>
      </c>
      <c r="C121" s="25">
        <v>40900</v>
      </c>
      <c r="D121" s="25">
        <v>44936</v>
      </c>
      <c r="E121" s="25">
        <v>104569</v>
      </c>
      <c r="F121" s="25">
        <v>9857</v>
      </c>
      <c r="G121" s="26">
        <f t="shared" si="1"/>
        <v>0.20423245548331687</v>
      </c>
      <c r="H121" s="25">
        <v>201394.9</v>
      </c>
      <c r="I121" s="25">
        <v>41005.440000000002</v>
      </c>
      <c r="J121" s="25">
        <v>45402.91</v>
      </c>
      <c r="K121" s="25">
        <v>105126.3</v>
      </c>
      <c r="L121" s="25">
        <v>9860.2620000000006</v>
      </c>
      <c r="M121" s="25">
        <v>1132.8889999999999</v>
      </c>
      <c r="N121" s="25">
        <v>105.44450000000001</v>
      </c>
      <c r="O121" s="25">
        <v>466.91149999999999</v>
      </c>
      <c r="P121" s="25">
        <v>557.27070000000003</v>
      </c>
      <c r="Q121" s="25">
        <v>3.262038</v>
      </c>
      <c r="R121" s="24">
        <f>COUNTIFS(H121,"&lt;=" &amp; housesum!$B$4 )</f>
        <v>0</v>
      </c>
      <c r="S121" s="24">
        <f>COUNTIFS(H121,"&gt;=" &amp; housesum!$B$5 )</f>
        <v>0</v>
      </c>
      <c r="T121" s="11"/>
    </row>
    <row r="122" spans="1:20" x14ac:dyDescent="0.35">
      <c r="A122" s="23">
        <v>121</v>
      </c>
      <c r="B122" s="25">
        <v>203209</v>
      </c>
      <c r="C122" s="25">
        <v>98132</v>
      </c>
      <c r="D122" s="25">
        <v>14082</v>
      </c>
      <c r="E122" s="25">
        <v>73954</v>
      </c>
      <c r="F122" s="25">
        <v>17041</v>
      </c>
      <c r="G122" s="26">
        <f t="shared" si="1"/>
        <v>0.48291168206132601</v>
      </c>
      <c r="H122" s="25">
        <v>204008.1</v>
      </c>
      <c r="I122" s="25">
        <v>98384.99</v>
      </c>
      <c r="J122" s="25">
        <v>14228.32</v>
      </c>
      <c r="K122" s="25">
        <v>74348.12</v>
      </c>
      <c r="L122" s="25">
        <v>17046.64</v>
      </c>
      <c r="M122" s="25">
        <v>799.07129999999995</v>
      </c>
      <c r="N122" s="25">
        <v>252.99459999999999</v>
      </c>
      <c r="O122" s="25">
        <v>146.3203</v>
      </c>
      <c r="P122" s="25">
        <v>394.11680000000001</v>
      </c>
      <c r="Q122" s="25">
        <v>5.6395590000000002</v>
      </c>
      <c r="R122" s="24">
        <f>COUNTIFS(H122,"&lt;=" &amp; housesum!$B$4 )</f>
        <v>0</v>
      </c>
      <c r="S122" s="24">
        <f>COUNTIFS(H122,"&gt;=" &amp; housesum!$B$5 )</f>
        <v>0</v>
      </c>
      <c r="T122" s="11"/>
    </row>
    <row r="123" spans="1:20" s="3" customFormat="1" x14ac:dyDescent="0.35">
      <c r="A123" s="23">
        <v>122</v>
      </c>
      <c r="B123" s="25">
        <v>203881</v>
      </c>
      <c r="C123" s="25">
        <v>99012</v>
      </c>
      <c r="D123" s="25">
        <v>9889</v>
      </c>
      <c r="E123" s="25">
        <v>76258</v>
      </c>
      <c r="F123" s="25">
        <v>18722</v>
      </c>
      <c r="G123" s="26">
        <f t="shared" si="1"/>
        <v>0.485636228976707</v>
      </c>
      <c r="H123" s="25">
        <v>204651.6</v>
      </c>
      <c r="I123" s="25">
        <v>99267.26</v>
      </c>
      <c r="J123" s="25">
        <v>9991.7530000000006</v>
      </c>
      <c r="K123" s="25">
        <v>76664.399999999994</v>
      </c>
      <c r="L123" s="25">
        <v>18728.2</v>
      </c>
      <c r="M123" s="25">
        <v>770.60609999999997</v>
      </c>
      <c r="N123" s="25">
        <v>255.26310000000001</v>
      </c>
      <c r="O123" s="25">
        <v>102.7526</v>
      </c>
      <c r="P123" s="25">
        <v>406.39499999999998</v>
      </c>
      <c r="Q123" s="25">
        <v>6.1959200000000001</v>
      </c>
      <c r="R123" s="24">
        <f>COUNTIFS(H123,"&lt;=" &amp; housesum!$B$4 )</f>
        <v>0</v>
      </c>
      <c r="S123" s="24">
        <f>COUNTIFS(H123,"&gt;=" &amp; housesum!$B$5 )</f>
        <v>1</v>
      </c>
      <c r="T123" s="11"/>
    </row>
    <row r="124" spans="1:20" x14ac:dyDescent="0.35">
      <c r="A124" s="23">
        <v>123</v>
      </c>
      <c r="B124" s="25">
        <v>197123</v>
      </c>
      <c r="C124" s="25">
        <v>49910</v>
      </c>
      <c r="D124" s="25">
        <v>9099</v>
      </c>
      <c r="E124" s="25">
        <v>130732</v>
      </c>
      <c r="F124" s="25">
        <v>7382</v>
      </c>
      <c r="G124" s="26">
        <f t="shared" si="1"/>
        <v>0.25319216935618877</v>
      </c>
      <c r="H124" s="25">
        <v>198045.4</v>
      </c>
      <c r="I124" s="25">
        <v>50038.67</v>
      </c>
      <c r="J124" s="25">
        <v>9193.5439999999999</v>
      </c>
      <c r="K124" s="25">
        <v>131428.70000000001</v>
      </c>
      <c r="L124" s="25">
        <v>7384.4430000000002</v>
      </c>
      <c r="M124" s="25">
        <v>922.35929999999996</v>
      </c>
      <c r="N124" s="25">
        <v>128.67330000000001</v>
      </c>
      <c r="O124" s="25">
        <v>94.544060000000002</v>
      </c>
      <c r="P124" s="25">
        <v>696.69889999999998</v>
      </c>
      <c r="Q124" s="25">
        <v>2.4429639999999999</v>
      </c>
      <c r="R124" s="24">
        <f>COUNTIFS(H124,"&lt;=" &amp; housesum!$B$4 )</f>
        <v>0</v>
      </c>
      <c r="S124" s="24">
        <f>COUNTIFS(H124,"&gt;=" &amp; housesum!$B$5 )</f>
        <v>0</v>
      </c>
      <c r="T124" s="11"/>
    </row>
    <row r="125" spans="1:20" x14ac:dyDescent="0.35">
      <c r="A125" s="23">
        <v>124</v>
      </c>
      <c r="B125" s="25">
        <v>194508</v>
      </c>
      <c r="C125" s="25">
        <v>31543</v>
      </c>
      <c r="D125" s="25">
        <v>16590</v>
      </c>
      <c r="E125" s="25">
        <v>137649</v>
      </c>
      <c r="F125" s="25">
        <v>8726</v>
      </c>
      <c r="G125" s="26">
        <f t="shared" si="1"/>
        <v>0.16216813704320646</v>
      </c>
      <c r="H125" s="25">
        <v>195498.1</v>
      </c>
      <c r="I125" s="25">
        <v>31624.32</v>
      </c>
      <c r="J125" s="25">
        <v>16762.38</v>
      </c>
      <c r="K125" s="25">
        <v>138382.6</v>
      </c>
      <c r="L125" s="25">
        <v>8728.8880000000008</v>
      </c>
      <c r="M125" s="25">
        <v>990.14940000000001</v>
      </c>
      <c r="N125" s="25">
        <v>81.321110000000004</v>
      </c>
      <c r="O125" s="25">
        <v>172.38</v>
      </c>
      <c r="P125" s="25">
        <v>733.56089999999995</v>
      </c>
      <c r="Q125" s="25">
        <v>2.887734</v>
      </c>
      <c r="R125" s="24">
        <f>COUNTIFS(H125,"&lt;=" &amp; housesum!$B$4 )</f>
        <v>0</v>
      </c>
      <c r="S125" s="24">
        <f>COUNTIFS(H125,"&gt;=" &amp; housesum!$B$5 )</f>
        <v>0</v>
      </c>
      <c r="T125" s="11"/>
    </row>
    <row r="126" spans="1:20" x14ac:dyDescent="0.35">
      <c r="A126" s="23">
        <v>125</v>
      </c>
      <c r="B126" s="25">
        <v>202784</v>
      </c>
      <c r="C126" s="25">
        <v>45977</v>
      </c>
      <c r="D126" s="25">
        <v>11379</v>
      </c>
      <c r="E126" s="25">
        <v>134510</v>
      </c>
      <c r="F126" s="25">
        <v>10918</v>
      </c>
      <c r="G126" s="26">
        <f t="shared" si="1"/>
        <v>0.22672893324917154</v>
      </c>
      <c r="H126" s="25">
        <v>203741.2</v>
      </c>
      <c r="I126" s="25">
        <v>46095.53</v>
      </c>
      <c r="J126" s="25">
        <v>11497.23</v>
      </c>
      <c r="K126" s="25">
        <v>135226.79999999999</v>
      </c>
      <c r="L126" s="25">
        <v>10921.61</v>
      </c>
      <c r="M126" s="25">
        <v>957.21389999999997</v>
      </c>
      <c r="N126" s="25">
        <v>118.5335</v>
      </c>
      <c r="O126" s="25">
        <v>118.2345</v>
      </c>
      <c r="P126" s="25">
        <v>716.8329</v>
      </c>
      <c r="Q126" s="25">
        <v>3.6131630000000001</v>
      </c>
      <c r="R126" s="24">
        <f>COUNTIFS(H126,"&lt;=" &amp; housesum!$B$4 )</f>
        <v>0</v>
      </c>
      <c r="S126" s="24">
        <f>COUNTIFS(H126,"&gt;=" &amp; housesum!$B$5 )</f>
        <v>0</v>
      </c>
      <c r="T126" s="11"/>
    </row>
    <row r="127" spans="1:20" x14ac:dyDescent="0.35">
      <c r="A127" s="23">
        <v>126</v>
      </c>
      <c r="B127" s="25">
        <v>188805</v>
      </c>
      <c r="C127" s="25">
        <v>85624</v>
      </c>
      <c r="D127" s="25">
        <v>29467</v>
      </c>
      <c r="E127" s="25">
        <v>49569</v>
      </c>
      <c r="F127" s="25">
        <v>24145</v>
      </c>
      <c r="G127" s="26">
        <f t="shared" si="1"/>
        <v>0.45350493895818439</v>
      </c>
      <c r="H127" s="25">
        <v>189494</v>
      </c>
      <c r="I127" s="25">
        <v>85834.12</v>
      </c>
      <c r="J127" s="25">
        <v>29794.34</v>
      </c>
      <c r="K127" s="25">
        <v>49711.06</v>
      </c>
      <c r="L127" s="25">
        <v>24154.46</v>
      </c>
      <c r="M127" s="25">
        <v>688.97730000000001</v>
      </c>
      <c r="N127" s="25">
        <v>210.1157</v>
      </c>
      <c r="O127" s="25">
        <v>327.34059999999999</v>
      </c>
      <c r="P127" s="25">
        <v>142.0599</v>
      </c>
      <c r="Q127" s="25">
        <v>9.4608729999999994</v>
      </c>
      <c r="R127" s="24">
        <f>COUNTIFS(H127,"&lt;=" &amp; housesum!$B$4 )</f>
        <v>0</v>
      </c>
      <c r="S127" s="24">
        <f>COUNTIFS(H127,"&gt;=" &amp; housesum!$B$5 )</f>
        <v>0</v>
      </c>
      <c r="T127" s="11"/>
    </row>
    <row r="128" spans="1:20" x14ac:dyDescent="0.35">
      <c r="A128" s="23">
        <v>127</v>
      </c>
      <c r="B128" s="25">
        <v>202964</v>
      </c>
      <c r="C128" s="25">
        <v>95790</v>
      </c>
      <c r="D128" s="25">
        <v>37292</v>
      </c>
      <c r="E128" s="25">
        <v>56161</v>
      </c>
      <c r="F128" s="25">
        <v>13721</v>
      </c>
      <c r="G128" s="26">
        <f t="shared" si="1"/>
        <v>0.47195561774501882</v>
      </c>
      <c r="H128" s="25">
        <v>203779.7</v>
      </c>
      <c r="I128" s="25">
        <v>96025.06</v>
      </c>
      <c r="J128" s="25">
        <v>37706.269999999997</v>
      </c>
      <c r="K128" s="25">
        <v>56321.95</v>
      </c>
      <c r="L128" s="25">
        <v>13726.38</v>
      </c>
      <c r="M128" s="25">
        <v>815.65700000000004</v>
      </c>
      <c r="N128" s="25">
        <v>235.06229999999999</v>
      </c>
      <c r="O128" s="25">
        <v>414.2663</v>
      </c>
      <c r="P128" s="25">
        <v>160.95189999999999</v>
      </c>
      <c r="Q128" s="25">
        <v>5.3763620000000003</v>
      </c>
      <c r="R128" s="24">
        <f>COUNTIFS(H128,"&lt;=" &amp; housesum!$B$4 )</f>
        <v>0</v>
      </c>
      <c r="S128" s="24">
        <f>COUNTIFS(H128,"&gt;=" &amp; housesum!$B$5 )</f>
        <v>0</v>
      </c>
      <c r="T128" s="11"/>
    </row>
    <row r="129" spans="1:20" x14ac:dyDescent="0.35">
      <c r="A129" s="23">
        <v>128</v>
      </c>
      <c r="B129" s="25">
        <v>192949</v>
      </c>
      <c r="C129" s="25">
        <v>86212</v>
      </c>
      <c r="D129" s="25">
        <v>21566</v>
      </c>
      <c r="E129" s="25">
        <v>76158</v>
      </c>
      <c r="F129" s="25">
        <v>9013</v>
      </c>
      <c r="G129" s="26">
        <f t="shared" si="1"/>
        <v>0.44681237010816327</v>
      </c>
      <c r="H129" s="25">
        <v>193621.9</v>
      </c>
      <c r="I129" s="25">
        <v>86423.56</v>
      </c>
      <c r="J129" s="25">
        <v>21805.57</v>
      </c>
      <c r="K129" s="25">
        <v>76376.259999999995</v>
      </c>
      <c r="L129" s="25">
        <v>9016.5319999999992</v>
      </c>
      <c r="M129" s="25">
        <v>672.92150000000004</v>
      </c>
      <c r="N129" s="25">
        <v>211.5583</v>
      </c>
      <c r="O129" s="25">
        <v>239.57060000000001</v>
      </c>
      <c r="P129" s="25">
        <v>218.26140000000001</v>
      </c>
      <c r="Q129" s="25">
        <v>3.5315970000000001</v>
      </c>
      <c r="R129" s="24">
        <f>COUNTIFS(H129,"&lt;=" &amp; housesum!$B$4 )</f>
        <v>0</v>
      </c>
      <c r="S129" s="24">
        <f>COUNTIFS(H129,"&gt;=" &amp; housesum!$B$5 )</f>
        <v>0</v>
      </c>
      <c r="T129" s="11"/>
    </row>
    <row r="130" spans="1:20" x14ac:dyDescent="0.35">
      <c r="A130" s="23">
        <v>129</v>
      </c>
      <c r="B130" s="25">
        <v>201896</v>
      </c>
      <c r="C130" s="25">
        <v>98219</v>
      </c>
      <c r="D130" s="25">
        <v>17947</v>
      </c>
      <c r="E130" s="25">
        <v>58727</v>
      </c>
      <c r="F130" s="25">
        <v>27003</v>
      </c>
      <c r="G130" s="26">
        <f t="shared" si="1"/>
        <v>0.48648313983437019</v>
      </c>
      <c r="H130" s="25">
        <v>202515.3</v>
      </c>
      <c r="I130" s="25">
        <v>98460.02</v>
      </c>
      <c r="J130" s="25">
        <v>18146.37</v>
      </c>
      <c r="K130" s="25">
        <v>58895.31</v>
      </c>
      <c r="L130" s="25">
        <v>27013.58</v>
      </c>
      <c r="M130" s="25">
        <v>619.27750000000003</v>
      </c>
      <c r="N130" s="25">
        <v>241.02289999999999</v>
      </c>
      <c r="O130" s="25">
        <v>199.3682</v>
      </c>
      <c r="P130" s="25">
        <v>168.30600000000001</v>
      </c>
      <c r="Q130" s="25">
        <v>10.5807</v>
      </c>
      <c r="R130" s="24">
        <f>COUNTIFS(H130,"&lt;=" &amp; housesum!$B$4 )</f>
        <v>0</v>
      </c>
      <c r="S130" s="24">
        <f>COUNTIFS(H130,"&gt;=" &amp; housesum!$B$5 )</f>
        <v>0</v>
      </c>
      <c r="T130" s="11"/>
    </row>
    <row r="131" spans="1:20" x14ac:dyDescent="0.35">
      <c r="A131" s="23">
        <v>130</v>
      </c>
      <c r="B131" s="25">
        <v>192603</v>
      </c>
      <c r="C131" s="25">
        <v>105268</v>
      </c>
      <c r="D131" s="25">
        <v>18971</v>
      </c>
      <c r="E131" s="25">
        <v>46304</v>
      </c>
      <c r="F131" s="25">
        <v>22060</v>
      </c>
      <c r="G131" s="26">
        <f t="shared" ref="G131:G151" si="2">C131/B131</f>
        <v>0.54655431119972175</v>
      </c>
      <c r="H131" s="25">
        <v>193213.4</v>
      </c>
      <c r="I131" s="25">
        <v>105526.3</v>
      </c>
      <c r="J131" s="25">
        <v>19181.740000000002</v>
      </c>
      <c r="K131" s="25">
        <v>46436.7</v>
      </c>
      <c r="L131" s="25">
        <v>22068.639999999999</v>
      </c>
      <c r="M131" s="25">
        <v>610.41110000000003</v>
      </c>
      <c r="N131" s="25">
        <v>258.32060000000001</v>
      </c>
      <c r="O131" s="25">
        <v>210.74350000000001</v>
      </c>
      <c r="P131" s="25">
        <v>132.7028</v>
      </c>
      <c r="Q131" s="25">
        <v>8.6438140000000008</v>
      </c>
      <c r="R131" s="24">
        <f>COUNTIFS(H131,"&lt;=" &amp; housesum!$B$4 )</f>
        <v>0</v>
      </c>
      <c r="S131" s="24">
        <f>COUNTIFS(H131,"&gt;=" &amp; housesum!$B$5 )</f>
        <v>0</v>
      </c>
      <c r="T131" s="11"/>
    </row>
    <row r="132" spans="1:20" x14ac:dyDescent="0.35">
      <c r="A132" s="23">
        <v>131</v>
      </c>
      <c r="B132" s="25">
        <v>202667</v>
      </c>
      <c r="C132" s="25">
        <v>10776</v>
      </c>
      <c r="D132" s="25">
        <v>67659</v>
      </c>
      <c r="E132" s="25">
        <v>108458</v>
      </c>
      <c r="F132" s="25">
        <v>15774</v>
      </c>
      <c r="G132" s="26">
        <f t="shared" si="2"/>
        <v>5.3170965179333583E-2</v>
      </c>
      <c r="H132" s="25">
        <v>203762.1</v>
      </c>
      <c r="I132" s="25">
        <v>10802.44</v>
      </c>
      <c r="J132" s="25">
        <v>68410.600000000006</v>
      </c>
      <c r="K132" s="25">
        <v>108768.8</v>
      </c>
      <c r="L132" s="25">
        <v>15780.18</v>
      </c>
      <c r="M132" s="25">
        <v>1095.059</v>
      </c>
      <c r="N132" s="25">
        <v>26.443560000000002</v>
      </c>
      <c r="O132" s="25">
        <v>751.60469999999998</v>
      </c>
      <c r="P132" s="25">
        <v>310.82990000000001</v>
      </c>
      <c r="Q132" s="25">
        <v>6.1807889999999999</v>
      </c>
      <c r="R132" s="24">
        <f>COUNTIFS(H132,"&lt;=" &amp; housesum!$B$4 )</f>
        <v>0</v>
      </c>
      <c r="S132" s="24">
        <f>COUNTIFS(H132,"&gt;=" &amp; housesum!$B$5 )</f>
        <v>0</v>
      </c>
      <c r="T132" s="11"/>
    </row>
    <row r="133" spans="1:20" x14ac:dyDescent="0.35">
      <c r="A133" s="23">
        <v>132</v>
      </c>
      <c r="B133" s="25">
        <v>196710</v>
      </c>
      <c r="C133" s="25">
        <v>84777</v>
      </c>
      <c r="D133" s="25">
        <v>25915</v>
      </c>
      <c r="E133" s="25">
        <v>56092</v>
      </c>
      <c r="F133" s="25">
        <v>29926</v>
      </c>
      <c r="G133" s="26">
        <f t="shared" si="2"/>
        <v>0.43097453103553457</v>
      </c>
      <c r="H133" s="25">
        <v>197378.4</v>
      </c>
      <c r="I133" s="25">
        <v>84985.04</v>
      </c>
      <c r="J133" s="25">
        <v>26202.880000000001</v>
      </c>
      <c r="K133" s="25">
        <v>56252.75</v>
      </c>
      <c r="L133" s="25">
        <v>29937.73</v>
      </c>
      <c r="M133" s="25">
        <v>668.39959999999996</v>
      </c>
      <c r="N133" s="25">
        <v>208.03710000000001</v>
      </c>
      <c r="O133" s="25">
        <v>287.88240000000002</v>
      </c>
      <c r="P133" s="25">
        <v>160.7542</v>
      </c>
      <c r="Q133" s="25">
        <v>11.726050000000001</v>
      </c>
      <c r="R133" s="24">
        <f>COUNTIFS(H133,"&lt;=" &amp; housesum!$B$4 )</f>
        <v>0</v>
      </c>
      <c r="S133" s="24">
        <f>COUNTIFS(H133,"&gt;=" &amp; housesum!$B$5 )</f>
        <v>0</v>
      </c>
      <c r="T133" s="11"/>
    </row>
    <row r="134" spans="1:20" x14ac:dyDescent="0.35">
      <c r="A134" s="23">
        <v>133</v>
      </c>
      <c r="B134" s="25">
        <v>189647</v>
      </c>
      <c r="C134" s="25">
        <v>93808</v>
      </c>
      <c r="D134" s="25">
        <v>29074</v>
      </c>
      <c r="E134" s="25">
        <v>36416</v>
      </c>
      <c r="F134" s="25">
        <v>30349</v>
      </c>
      <c r="G134" s="26">
        <f t="shared" si="2"/>
        <v>0.4946453147162887</v>
      </c>
      <c r="H134" s="25">
        <v>190316.4</v>
      </c>
      <c r="I134" s="25">
        <v>94038.2</v>
      </c>
      <c r="J134" s="25">
        <v>29396.97</v>
      </c>
      <c r="K134" s="25">
        <v>36520.36</v>
      </c>
      <c r="L134" s="25">
        <v>30360.89</v>
      </c>
      <c r="M134" s="25">
        <v>669.42939999999999</v>
      </c>
      <c r="N134" s="25">
        <v>230.1985</v>
      </c>
      <c r="O134" s="25">
        <v>322.97469999999998</v>
      </c>
      <c r="P134" s="25">
        <v>104.3646</v>
      </c>
      <c r="Q134" s="25">
        <v>11.89174</v>
      </c>
      <c r="R134" s="24">
        <f>COUNTIFS(H134,"&lt;=" &amp; housesum!$B$4 )</f>
        <v>0</v>
      </c>
      <c r="S134" s="24">
        <f>COUNTIFS(H134,"&gt;=" &amp; housesum!$B$5 )</f>
        <v>0</v>
      </c>
      <c r="T134" s="11"/>
    </row>
    <row r="135" spans="1:20" x14ac:dyDescent="0.35">
      <c r="A135" s="23">
        <v>134</v>
      </c>
      <c r="B135" s="25">
        <v>197013</v>
      </c>
      <c r="C135" s="25">
        <v>115911</v>
      </c>
      <c r="D135" s="25">
        <v>14037</v>
      </c>
      <c r="E135" s="25">
        <v>30240</v>
      </c>
      <c r="F135" s="25">
        <v>36825</v>
      </c>
      <c r="G135" s="26">
        <f t="shared" si="2"/>
        <v>0.58834188606843207</v>
      </c>
      <c r="H135" s="25">
        <v>197554.5</v>
      </c>
      <c r="I135" s="25">
        <v>116195.4</v>
      </c>
      <c r="J135" s="25">
        <v>14192.93</v>
      </c>
      <c r="K135" s="25">
        <v>30326.66</v>
      </c>
      <c r="L135" s="25">
        <v>36839.43</v>
      </c>
      <c r="M135" s="25">
        <v>541.46510000000001</v>
      </c>
      <c r="N135" s="25">
        <v>284.43779999999998</v>
      </c>
      <c r="O135" s="25">
        <v>155.9331</v>
      </c>
      <c r="P135" s="25">
        <v>86.66489</v>
      </c>
      <c r="Q135" s="25">
        <v>14.429309999999999</v>
      </c>
      <c r="R135" s="24">
        <f>COUNTIFS(H135,"&lt;=" &amp; housesum!$B$4 )</f>
        <v>0</v>
      </c>
      <c r="S135" s="24">
        <f>COUNTIFS(H135,"&gt;=" &amp; housesum!$B$5 )</f>
        <v>0</v>
      </c>
      <c r="T135" s="11"/>
    </row>
    <row r="136" spans="1:20" s="3" customFormat="1" x14ac:dyDescent="0.35">
      <c r="A136" s="23">
        <v>135</v>
      </c>
      <c r="B136" s="25">
        <v>203172</v>
      </c>
      <c r="C136" s="25">
        <v>40604</v>
      </c>
      <c r="D136" s="25">
        <v>45418</v>
      </c>
      <c r="E136" s="25">
        <v>94791</v>
      </c>
      <c r="F136" s="25">
        <v>22359</v>
      </c>
      <c r="G136" s="26">
        <f t="shared" si="2"/>
        <v>0.19985037308290513</v>
      </c>
      <c r="H136" s="25">
        <v>204056.6</v>
      </c>
      <c r="I136" s="25">
        <v>40703.64</v>
      </c>
      <c r="J136" s="25">
        <v>45922.54</v>
      </c>
      <c r="K136" s="25">
        <v>95062.66</v>
      </c>
      <c r="L136" s="25">
        <v>22367.759999999998</v>
      </c>
      <c r="M136" s="25">
        <v>884.59820000000002</v>
      </c>
      <c r="N136" s="25">
        <v>99.639529999999993</v>
      </c>
      <c r="O136" s="25">
        <v>504.53570000000002</v>
      </c>
      <c r="P136" s="25">
        <v>271.66199999999998</v>
      </c>
      <c r="Q136" s="25">
        <v>8.7610089999999996</v>
      </c>
      <c r="R136" s="24">
        <f>COUNTIFS(H136,"&lt;=" &amp; housesum!$B$4 )</f>
        <v>0</v>
      </c>
      <c r="S136" s="24">
        <f>COUNTIFS(H136,"&gt;=" &amp; housesum!$B$5 )</f>
        <v>1</v>
      </c>
      <c r="T136" s="11"/>
    </row>
    <row r="137" spans="1:20" x14ac:dyDescent="0.35">
      <c r="A137" s="23">
        <v>136</v>
      </c>
      <c r="B137" s="25">
        <v>203587</v>
      </c>
      <c r="C137" s="25">
        <v>95336</v>
      </c>
      <c r="D137" s="25">
        <v>18846</v>
      </c>
      <c r="E137" s="25">
        <v>50375</v>
      </c>
      <c r="F137" s="25">
        <v>39030</v>
      </c>
      <c r="G137" s="26">
        <f t="shared" si="2"/>
        <v>0.46828137356510974</v>
      </c>
      <c r="H137" s="25">
        <v>203937.5</v>
      </c>
      <c r="I137" s="25">
        <v>95489.32</v>
      </c>
      <c r="J137" s="25">
        <v>18930.77</v>
      </c>
      <c r="K137" s="25">
        <v>50484.94</v>
      </c>
      <c r="L137" s="25">
        <v>39032.449999999997</v>
      </c>
      <c r="M137" s="25">
        <v>350.47300000000001</v>
      </c>
      <c r="N137" s="25">
        <v>153.3152</v>
      </c>
      <c r="O137" s="25">
        <v>84.766509999999997</v>
      </c>
      <c r="P137" s="25">
        <v>109.9366</v>
      </c>
      <c r="Q137" s="25">
        <v>2.4548220000000001</v>
      </c>
      <c r="R137" s="24">
        <f>COUNTIFS(H137,"&lt;=" &amp; housesum!$B$4 )</f>
        <v>0</v>
      </c>
      <c r="S137" s="24">
        <f>COUNTIFS(H137,"&gt;=" &amp; housesum!$B$5 )</f>
        <v>0</v>
      </c>
      <c r="T137" s="11"/>
    </row>
    <row r="138" spans="1:20" x14ac:dyDescent="0.35">
      <c r="A138" s="23">
        <v>137</v>
      </c>
      <c r="B138" s="25">
        <v>196097</v>
      </c>
      <c r="C138" s="25">
        <v>28661</v>
      </c>
      <c r="D138" s="25">
        <v>37425</v>
      </c>
      <c r="E138" s="25">
        <v>103911</v>
      </c>
      <c r="F138" s="25">
        <v>26100</v>
      </c>
      <c r="G138" s="26">
        <f t="shared" si="2"/>
        <v>0.14615725890758144</v>
      </c>
      <c r="H138" s="25">
        <v>196891.1</v>
      </c>
      <c r="I138" s="25">
        <v>28731.33</v>
      </c>
      <c r="J138" s="25">
        <v>37840.74</v>
      </c>
      <c r="K138" s="25">
        <v>104208.8</v>
      </c>
      <c r="L138" s="25">
        <v>26110.23</v>
      </c>
      <c r="M138" s="25">
        <v>794.10069999999996</v>
      </c>
      <c r="N138" s="25">
        <v>70.33211</v>
      </c>
      <c r="O138" s="25">
        <v>415.74380000000002</v>
      </c>
      <c r="P138" s="25">
        <v>297.79880000000003</v>
      </c>
      <c r="Q138" s="25">
        <v>10.226760000000001</v>
      </c>
      <c r="R138" s="24">
        <f>COUNTIFS(H138,"&lt;=" &amp; housesum!$B$4 )</f>
        <v>0</v>
      </c>
      <c r="S138" s="24">
        <f>COUNTIFS(H138,"&gt;=" &amp; housesum!$B$5 )</f>
        <v>0</v>
      </c>
      <c r="T138" s="11"/>
    </row>
    <row r="139" spans="1:20" x14ac:dyDescent="0.35">
      <c r="A139" s="23">
        <v>138</v>
      </c>
      <c r="B139" s="25">
        <v>198419</v>
      </c>
      <c r="C139" s="25">
        <v>73216</v>
      </c>
      <c r="D139" s="25">
        <v>18137</v>
      </c>
      <c r="E139" s="25">
        <v>81554</v>
      </c>
      <c r="F139" s="25">
        <v>25512</v>
      </c>
      <c r="G139" s="26">
        <f t="shared" si="2"/>
        <v>0.36899692065779993</v>
      </c>
      <c r="H139" s="25">
        <v>199043.9</v>
      </c>
      <c r="I139" s="25">
        <v>73395.67</v>
      </c>
      <c r="J139" s="25">
        <v>18338.48</v>
      </c>
      <c r="K139" s="25">
        <v>81787.73</v>
      </c>
      <c r="L139" s="25">
        <v>25522</v>
      </c>
      <c r="M139" s="25">
        <v>624.86779999999999</v>
      </c>
      <c r="N139" s="25">
        <v>179.6671</v>
      </c>
      <c r="O139" s="25">
        <v>201.47880000000001</v>
      </c>
      <c r="P139" s="25">
        <v>233.7259</v>
      </c>
      <c r="Q139" s="25">
        <v>9.99648</v>
      </c>
      <c r="R139" s="24">
        <f>COUNTIFS(H139,"&lt;=" &amp; housesum!$B$4 )</f>
        <v>0</v>
      </c>
      <c r="S139" s="24">
        <f>COUNTIFS(H139,"&gt;=" &amp; housesum!$B$5 )</f>
        <v>0</v>
      </c>
      <c r="T139" s="11"/>
    </row>
    <row r="140" spans="1:20" x14ac:dyDescent="0.35">
      <c r="A140" s="23">
        <v>139</v>
      </c>
      <c r="B140" s="25">
        <v>202150</v>
      </c>
      <c r="C140" s="25">
        <v>27127</v>
      </c>
      <c r="D140" s="25">
        <v>72655</v>
      </c>
      <c r="E140" s="25">
        <v>88768</v>
      </c>
      <c r="F140" s="25">
        <v>13600</v>
      </c>
      <c r="G140" s="26">
        <f t="shared" si="2"/>
        <v>0.13419243136284936</v>
      </c>
      <c r="H140" s="25">
        <v>203283.4</v>
      </c>
      <c r="I140" s="25">
        <v>27193.57</v>
      </c>
      <c r="J140" s="25">
        <v>73462.100000000006</v>
      </c>
      <c r="K140" s="25">
        <v>89022.399999999994</v>
      </c>
      <c r="L140" s="25">
        <v>13605.33</v>
      </c>
      <c r="M140" s="25">
        <v>1133.4010000000001</v>
      </c>
      <c r="N140" s="25">
        <v>66.567779999999999</v>
      </c>
      <c r="O140" s="25">
        <v>807.10389999999995</v>
      </c>
      <c r="P140" s="25">
        <v>254.40029999999999</v>
      </c>
      <c r="Q140" s="25">
        <v>5.3289200000000001</v>
      </c>
      <c r="R140" s="24">
        <f>COUNTIFS(H140,"&lt;=" &amp; housesum!$B$4 )</f>
        <v>0</v>
      </c>
      <c r="S140" s="24">
        <f>COUNTIFS(H140,"&gt;=" &amp; housesum!$B$5 )</f>
        <v>0</v>
      </c>
      <c r="T140" s="11"/>
    </row>
    <row r="141" spans="1:20" x14ac:dyDescent="0.35">
      <c r="A141" s="23">
        <v>140</v>
      </c>
      <c r="B141" s="25">
        <v>186188</v>
      </c>
      <c r="C141" s="25">
        <v>10455</v>
      </c>
      <c r="D141" s="25">
        <v>17564</v>
      </c>
      <c r="E141" s="25">
        <v>153383</v>
      </c>
      <c r="F141" s="25">
        <v>4786</v>
      </c>
      <c r="G141" s="26">
        <f t="shared" si="2"/>
        <v>5.615292070380476E-2</v>
      </c>
      <c r="H141" s="25">
        <v>186850.2</v>
      </c>
      <c r="I141" s="25">
        <v>10480.66</v>
      </c>
      <c r="J141" s="25">
        <v>17759.11</v>
      </c>
      <c r="K141" s="25">
        <v>153822.6</v>
      </c>
      <c r="L141" s="25">
        <v>4787.875</v>
      </c>
      <c r="M141" s="25">
        <v>662.22519999999997</v>
      </c>
      <c r="N141" s="25">
        <v>25.655840000000001</v>
      </c>
      <c r="O141" s="25">
        <v>195.11349999999999</v>
      </c>
      <c r="P141" s="25">
        <v>439.58080000000001</v>
      </c>
      <c r="Q141" s="25">
        <v>1.875335</v>
      </c>
      <c r="R141" s="24">
        <f>COUNTIFS(H141,"&lt;=" &amp; housesum!$B$4 )</f>
        <v>0</v>
      </c>
      <c r="S141" s="24">
        <f>COUNTIFS(H141,"&gt;=" &amp; housesum!$B$5 )</f>
        <v>0</v>
      </c>
      <c r="T141" s="11"/>
    </row>
    <row r="142" spans="1:20" x14ac:dyDescent="0.35">
      <c r="A142" s="23">
        <v>141</v>
      </c>
      <c r="B142" s="25">
        <v>201495</v>
      </c>
      <c r="C142" s="25">
        <v>12361</v>
      </c>
      <c r="D142" s="25">
        <v>90588</v>
      </c>
      <c r="E142" s="25">
        <v>92940</v>
      </c>
      <c r="F142" s="25">
        <v>5606</v>
      </c>
      <c r="G142" s="26">
        <f t="shared" si="2"/>
        <v>6.1346435395419244E-2</v>
      </c>
      <c r="H142" s="25">
        <v>202800.2</v>
      </c>
      <c r="I142" s="25">
        <v>12391.33</v>
      </c>
      <c r="J142" s="25">
        <v>91594.32</v>
      </c>
      <c r="K142" s="25">
        <v>93206.36</v>
      </c>
      <c r="L142" s="25">
        <v>5608.1970000000001</v>
      </c>
      <c r="M142" s="25">
        <v>1305.203</v>
      </c>
      <c r="N142" s="25">
        <v>30.333030000000001</v>
      </c>
      <c r="O142" s="25">
        <v>1006.316</v>
      </c>
      <c r="P142" s="25">
        <v>266.3569</v>
      </c>
      <c r="Q142" s="25">
        <v>2.1966290000000002</v>
      </c>
      <c r="R142" s="24">
        <f>COUNTIFS(H142,"&lt;=" &amp; housesum!$B$4 )</f>
        <v>0</v>
      </c>
      <c r="S142" s="24">
        <f>COUNTIFS(H142,"&gt;=" &amp; housesum!$B$5 )</f>
        <v>0</v>
      </c>
      <c r="T142" s="11"/>
    </row>
    <row r="143" spans="1:20" x14ac:dyDescent="0.35">
      <c r="A143" s="23">
        <v>142</v>
      </c>
      <c r="B143" s="25">
        <v>193612</v>
      </c>
      <c r="C143" s="25">
        <v>24315</v>
      </c>
      <c r="D143" s="25">
        <v>71896</v>
      </c>
      <c r="E143" s="25">
        <v>90347</v>
      </c>
      <c r="F143" s="25">
        <v>7054</v>
      </c>
      <c r="G143" s="26">
        <f t="shared" si="2"/>
        <v>0.12558622399438052</v>
      </c>
      <c r="H143" s="25">
        <v>192914.6</v>
      </c>
      <c r="I143" s="25">
        <v>23699.01</v>
      </c>
      <c r="J143" s="25">
        <v>72009.14</v>
      </c>
      <c r="K143" s="25">
        <v>90158.65</v>
      </c>
      <c r="L143" s="25">
        <v>7047.76</v>
      </c>
      <c r="M143" s="25">
        <v>-697.43830000000003</v>
      </c>
      <c r="N143" s="25">
        <v>-615.98659999999995</v>
      </c>
      <c r="O143" s="25">
        <v>113.1404</v>
      </c>
      <c r="P143" s="25">
        <v>-188.35239999999999</v>
      </c>
      <c r="Q143" s="25">
        <v>-6.2395259999999997</v>
      </c>
      <c r="R143" s="24">
        <f>COUNTIFS(H143,"&lt;=" &amp; housesum!$B$4 )</f>
        <v>0</v>
      </c>
      <c r="S143" s="24">
        <f>COUNTIFS(H143,"&gt;=" &amp; housesum!$B$5 )</f>
        <v>0</v>
      </c>
      <c r="T143" s="11"/>
    </row>
    <row r="144" spans="1:20" x14ac:dyDescent="0.35">
      <c r="A144" s="23">
        <v>143</v>
      </c>
      <c r="B144" s="25">
        <v>200529</v>
      </c>
      <c r="C144" s="25">
        <v>20298</v>
      </c>
      <c r="D144" s="25">
        <v>24349</v>
      </c>
      <c r="E144" s="25">
        <v>152081</v>
      </c>
      <c r="F144" s="25">
        <v>3801</v>
      </c>
      <c r="G144" s="26">
        <f t="shared" si="2"/>
        <v>0.10122226710351122</v>
      </c>
      <c r="H144" s="25">
        <v>201286.6</v>
      </c>
      <c r="I144" s="25">
        <v>20347.810000000001</v>
      </c>
      <c r="J144" s="25">
        <v>24619.49</v>
      </c>
      <c r="K144" s="25">
        <v>152516.79999999999</v>
      </c>
      <c r="L144" s="25">
        <v>3802.489</v>
      </c>
      <c r="M144" s="25">
        <v>757.63459999999998</v>
      </c>
      <c r="N144" s="25">
        <v>49.809919999999998</v>
      </c>
      <c r="O144" s="25">
        <v>270.4862</v>
      </c>
      <c r="P144" s="25">
        <v>435.84930000000003</v>
      </c>
      <c r="Q144" s="25">
        <v>1.4893670000000001</v>
      </c>
      <c r="R144" s="24">
        <f>COUNTIFS(H144,"&lt;=" &amp; housesum!$B$4 )</f>
        <v>0</v>
      </c>
      <c r="S144" s="24">
        <f>COUNTIFS(H144,"&gt;=" &amp; housesum!$B$5 )</f>
        <v>0</v>
      </c>
      <c r="T144" s="11"/>
    </row>
    <row r="145" spans="1:20" x14ac:dyDescent="0.35">
      <c r="A145" s="23">
        <v>144</v>
      </c>
      <c r="B145" s="25">
        <v>203960</v>
      </c>
      <c r="C145" s="25">
        <v>27741</v>
      </c>
      <c r="D145" s="25">
        <v>13775</v>
      </c>
      <c r="E145" s="25">
        <v>154151</v>
      </c>
      <c r="F145" s="25">
        <v>8293</v>
      </c>
      <c r="G145" s="26">
        <f t="shared" si="2"/>
        <v>0.1360119631300255</v>
      </c>
      <c r="H145" s="25">
        <v>204626.1</v>
      </c>
      <c r="I145" s="25">
        <v>27809.07</v>
      </c>
      <c r="J145" s="25">
        <v>13928.02</v>
      </c>
      <c r="K145" s="25">
        <v>154592.79999999999</v>
      </c>
      <c r="L145" s="25">
        <v>8296.2489999999998</v>
      </c>
      <c r="M145" s="25">
        <v>666.12789999999995</v>
      </c>
      <c r="N145" s="25">
        <v>68.074539999999999</v>
      </c>
      <c r="O145" s="25">
        <v>153.02260000000001</v>
      </c>
      <c r="P145" s="25">
        <v>441.78160000000003</v>
      </c>
      <c r="Q145" s="25">
        <v>3.249485</v>
      </c>
      <c r="R145" s="24">
        <f>COUNTIFS(H145,"&lt;=" &amp; housesum!$B$4 )</f>
        <v>0</v>
      </c>
      <c r="S145" s="24">
        <f>COUNTIFS(H145,"&gt;=" &amp; housesum!$B$5 )</f>
        <v>1</v>
      </c>
      <c r="T145" s="11"/>
    </row>
    <row r="146" spans="1:20" x14ac:dyDescent="0.35">
      <c r="A146" s="23">
        <v>145</v>
      </c>
      <c r="B146" s="25">
        <v>188902</v>
      </c>
      <c r="C146" s="25">
        <v>44351</v>
      </c>
      <c r="D146" s="25">
        <v>15920</v>
      </c>
      <c r="E146" s="25">
        <v>119810</v>
      </c>
      <c r="F146" s="25">
        <v>8821</v>
      </c>
      <c r="G146" s="26">
        <f t="shared" si="2"/>
        <v>0.2347831150543668</v>
      </c>
      <c r="H146" s="25">
        <v>189534.5</v>
      </c>
      <c r="I146" s="25">
        <v>44459.83</v>
      </c>
      <c r="J146" s="25">
        <v>16096.85</v>
      </c>
      <c r="K146" s="25">
        <v>120153.4</v>
      </c>
      <c r="L146" s="25">
        <v>8824.4560000000001</v>
      </c>
      <c r="M146" s="25">
        <v>632.50509999999997</v>
      </c>
      <c r="N146" s="25">
        <v>108.8343</v>
      </c>
      <c r="O146" s="25">
        <v>176.8509</v>
      </c>
      <c r="P146" s="25">
        <v>343.36360000000002</v>
      </c>
      <c r="Q146" s="25">
        <v>3.4563790000000001</v>
      </c>
      <c r="R146" s="24">
        <f>COUNTIFS(H146,"&lt;=" &amp; housesum!$B$4 )</f>
        <v>0</v>
      </c>
      <c r="S146" s="24">
        <f>COUNTIFS(H146,"&gt;=" &amp; housesum!$B$5 )</f>
        <v>0</v>
      </c>
      <c r="T146" s="11"/>
    </row>
    <row r="147" spans="1:20" x14ac:dyDescent="0.35">
      <c r="A147" s="23">
        <v>146</v>
      </c>
      <c r="B147" s="25">
        <v>192277</v>
      </c>
      <c r="C147" s="25">
        <v>31442</v>
      </c>
      <c r="D147" s="25">
        <v>85372</v>
      </c>
      <c r="E147" s="25">
        <v>56834</v>
      </c>
      <c r="F147" s="25">
        <v>18629</v>
      </c>
      <c r="G147" s="26">
        <f t="shared" si="2"/>
        <v>0.1635244985099622</v>
      </c>
      <c r="H147" s="25">
        <v>193472.7</v>
      </c>
      <c r="I147" s="25">
        <v>31519.16</v>
      </c>
      <c r="J147" s="25">
        <v>86320.37</v>
      </c>
      <c r="K147" s="25">
        <v>56996.88</v>
      </c>
      <c r="L147" s="25">
        <v>18636.3</v>
      </c>
      <c r="M147" s="25">
        <v>1195.71</v>
      </c>
      <c r="N147" s="25">
        <v>77.156559999999999</v>
      </c>
      <c r="O147" s="25">
        <v>948.3732</v>
      </c>
      <c r="P147" s="25">
        <v>162.88069999999999</v>
      </c>
      <c r="Q147" s="25">
        <v>7.2994450000000004</v>
      </c>
      <c r="R147" s="24">
        <f>COUNTIFS(H147,"&lt;=" &amp; housesum!$B$4 )</f>
        <v>0</v>
      </c>
      <c r="S147" s="24">
        <f>COUNTIFS(H147,"&gt;=" &amp; housesum!$B$5 )</f>
        <v>0</v>
      </c>
      <c r="T147" s="11"/>
    </row>
    <row r="148" spans="1:20" x14ac:dyDescent="0.35">
      <c r="A148" s="23">
        <v>147</v>
      </c>
      <c r="B148" s="25">
        <v>201033</v>
      </c>
      <c r="C148" s="25">
        <v>42861</v>
      </c>
      <c r="D148" s="25">
        <v>63837</v>
      </c>
      <c r="E148" s="25">
        <v>74413</v>
      </c>
      <c r="F148" s="25">
        <v>19922</v>
      </c>
      <c r="G148" s="26">
        <f t="shared" si="2"/>
        <v>0.21320380236080644</v>
      </c>
      <c r="H148" s="25">
        <v>202068.4</v>
      </c>
      <c r="I148" s="25">
        <v>42966.18</v>
      </c>
      <c r="J148" s="25">
        <v>64546.15</v>
      </c>
      <c r="K148" s="25">
        <v>74626.259999999995</v>
      </c>
      <c r="L148" s="25">
        <v>19929.810000000001</v>
      </c>
      <c r="M148" s="25">
        <v>1035.3920000000001</v>
      </c>
      <c r="N148" s="25">
        <v>105.178</v>
      </c>
      <c r="O148" s="25">
        <v>709.14729999999997</v>
      </c>
      <c r="P148" s="25">
        <v>213.2603</v>
      </c>
      <c r="Q148" s="25">
        <v>7.8060739999999997</v>
      </c>
      <c r="R148" s="24">
        <f>COUNTIFS(H148,"&lt;=" &amp; housesum!$B$4 )</f>
        <v>0</v>
      </c>
      <c r="S148" s="24">
        <f>COUNTIFS(H148,"&gt;=" &amp; housesum!$B$5 )</f>
        <v>0</v>
      </c>
      <c r="T148" s="11"/>
    </row>
    <row r="149" spans="1:20" s="3" customFormat="1" x14ac:dyDescent="0.35">
      <c r="A149" s="23">
        <v>148</v>
      </c>
      <c r="B149" s="25">
        <v>203639</v>
      </c>
      <c r="C149" s="25">
        <v>38683</v>
      </c>
      <c r="D149" s="25">
        <v>30153</v>
      </c>
      <c r="E149" s="25">
        <v>114852</v>
      </c>
      <c r="F149" s="25">
        <v>19951</v>
      </c>
      <c r="G149" s="26">
        <f t="shared" si="2"/>
        <v>0.18995870142752616</v>
      </c>
      <c r="H149" s="25">
        <v>204405.9</v>
      </c>
      <c r="I149" s="25">
        <v>38777.93</v>
      </c>
      <c r="J149" s="25">
        <v>30487.96</v>
      </c>
      <c r="K149" s="25">
        <v>115181.2</v>
      </c>
      <c r="L149" s="25">
        <v>19958.82</v>
      </c>
      <c r="M149" s="25">
        <v>766.85910000000001</v>
      </c>
      <c r="N149" s="25">
        <v>94.925430000000006</v>
      </c>
      <c r="O149" s="25">
        <v>334.96120000000002</v>
      </c>
      <c r="P149" s="25">
        <v>329.15480000000002</v>
      </c>
      <c r="Q149" s="25">
        <v>7.8174720000000004</v>
      </c>
      <c r="R149" s="24">
        <f>COUNTIFS(H149,"&lt;=" &amp; housesum!$B$4 )</f>
        <v>0</v>
      </c>
      <c r="S149" s="24">
        <f>COUNTIFS(H149,"&gt;=" &amp; housesum!$B$5 )</f>
        <v>1</v>
      </c>
      <c r="T149" s="11"/>
    </row>
    <row r="150" spans="1:20" x14ac:dyDescent="0.35">
      <c r="A150" s="23">
        <v>149</v>
      </c>
      <c r="B150" s="25">
        <v>198740</v>
      </c>
      <c r="C150" s="25">
        <v>26274</v>
      </c>
      <c r="D150" s="25">
        <v>51230</v>
      </c>
      <c r="E150" s="25">
        <v>81049</v>
      </c>
      <c r="F150" s="25">
        <v>40187</v>
      </c>
      <c r="G150" s="26">
        <f t="shared" si="2"/>
        <v>0.13220287813223308</v>
      </c>
      <c r="H150" s="25">
        <v>199621.6</v>
      </c>
      <c r="I150" s="25">
        <v>26338.47</v>
      </c>
      <c r="J150" s="25">
        <v>51799.1</v>
      </c>
      <c r="K150" s="25">
        <v>81281.279999999999</v>
      </c>
      <c r="L150" s="25">
        <v>40202.75</v>
      </c>
      <c r="M150" s="25">
        <v>881.59900000000005</v>
      </c>
      <c r="N150" s="25">
        <v>64.474639999999994</v>
      </c>
      <c r="O150" s="25">
        <v>569.09950000000003</v>
      </c>
      <c r="P150" s="25">
        <v>232.27850000000001</v>
      </c>
      <c r="Q150" s="25">
        <v>15.74658</v>
      </c>
      <c r="R150" s="24">
        <f>COUNTIFS(H150,"&lt;=" &amp; housesum!$B$4 )</f>
        <v>0</v>
      </c>
      <c r="S150" s="24">
        <f>COUNTIFS(H150,"&gt;=" &amp; housesum!$B$5 )</f>
        <v>0</v>
      </c>
      <c r="T150" s="11"/>
    </row>
    <row r="151" spans="1:20" x14ac:dyDescent="0.35">
      <c r="A151" s="23">
        <v>150</v>
      </c>
      <c r="B151" s="25">
        <v>195678</v>
      </c>
      <c r="C151" s="25">
        <v>84819</v>
      </c>
      <c r="D151" s="25">
        <v>32312</v>
      </c>
      <c r="E151" s="25">
        <v>57700</v>
      </c>
      <c r="F151" s="25">
        <v>20847</v>
      </c>
      <c r="G151" s="26">
        <f t="shared" si="2"/>
        <v>0.43346211633397724</v>
      </c>
      <c r="H151" s="25">
        <v>196418.6</v>
      </c>
      <c r="I151" s="25">
        <v>85027.14</v>
      </c>
      <c r="J151" s="25">
        <v>32670.94</v>
      </c>
      <c r="K151" s="25">
        <v>57865.36</v>
      </c>
      <c r="L151" s="25">
        <v>20855.169999999998</v>
      </c>
      <c r="M151" s="25">
        <v>740.61659999999995</v>
      </c>
      <c r="N151" s="25">
        <v>208.14019999999999</v>
      </c>
      <c r="O151" s="25">
        <v>358.94490000000002</v>
      </c>
      <c r="P151" s="25">
        <v>165.36269999999999</v>
      </c>
      <c r="Q151" s="25">
        <v>8.1685239999999997</v>
      </c>
      <c r="R151" s="24">
        <f>COUNTIFS(H151,"&lt;=" &amp; housesum!$B$4 )</f>
        <v>0</v>
      </c>
      <c r="S151" s="24">
        <f>COUNTIFS(H151,"&gt;=" &amp; housesum!$B$5 )</f>
        <v>0</v>
      </c>
      <c r="T151" s="11"/>
    </row>
    <row r="152" spans="1:20" x14ac:dyDescent="0.35">
      <c r="A152" s="3" t="s">
        <v>23</v>
      </c>
      <c r="B152" s="11">
        <v>29145505</v>
      </c>
      <c r="C152" s="11">
        <v>11584597</v>
      </c>
      <c r="D152" s="11">
        <v>3727721</v>
      </c>
      <c r="E152" s="11">
        <v>11441717</v>
      </c>
      <c r="F152" s="11">
        <v>2391470</v>
      </c>
      <c r="G152" s="11"/>
      <c r="H152" s="11">
        <v>29145507.000000011</v>
      </c>
      <c r="I152" s="11">
        <v>11584596.993000001</v>
      </c>
      <c r="J152" s="11">
        <v>3727721.953900001</v>
      </c>
      <c r="K152" s="11">
        <v>11441717.950000001</v>
      </c>
      <c r="L152" s="11">
        <v>2391470.0159999989</v>
      </c>
      <c r="Q152" s="11"/>
      <c r="R152" s="11"/>
      <c r="S152" s="11"/>
      <c r="T152" s="11"/>
    </row>
    <row r="155" spans="1:20" x14ac:dyDescent="0.35">
      <c r="B155" s="21"/>
    </row>
  </sheetData>
  <sortState xmlns:xlrd2="http://schemas.microsoft.com/office/spreadsheetml/2017/richdata2" ref="A2:R151">
    <sortCondition ref="A2:A15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06CC-1C51-49A0-B3B0-023F81C1E6EB}">
  <dimension ref="A1:B16"/>
  <sheetViews>
    <sheetView workbookViewId="0">
      <selection activeCell="E23" sqref="E23"/>
    </sheetView>
  </sheetViews>
  <sheetFormatPr defaultRowHeight="14.5" x14ac:dyDescent="0.35"/>
  <cols>
    <col min="1" max="1" width="16" customWidth="1"/>
    <col min="2" max="2" width="12.81640625" customWidth="1"/>
  </cols>
  <sheetData>
    <row r="1" spans="1:2" x14ac:dyDescent="0.35">
      <c r="A1" s="12" t="s">
        <v>0</v>
      </c>
      <c r="B1" s="13">
        <f>house!H152</f>
        <v>29145507.000000011</v>
      </c>
    </row>
    <row r="2" spans="1:2" x14ac:dyDescent="0.35">
      <c r="A2" s="12" t="s">
        <v>1</v>
      </c>
      <c r="B2" s="13">
        <f>B1/150</f>
        <v>194303.38000000006</v>
      </c>
    </row>
    <row r="3" spans="1:2" x14ac:dyDescent="0.35">
      <c r="A3" s="12" t="s">
        <v>2</v>
      </c>
      <c r="B3" s="13">
        <f>0.05*B2</f>
        <v>9715.1690000000035</v>
      </c>
    </row>
    <row r="4" spans="1:2" x14ac:dyDescent="0.35">
      <c r="A4" s="12" t="s">
        <v>3</v>
      </c>
      <c r="B4" s="13">
        <f>B2-B3</f>
        <v>184588.21100000007</v>
      </c>
    </row>
    <row r="5" spans="1:2" x14ac:dyDescent="0.35">
      <c r="A5" s="12" t="s">
        <v>4</v>
      </c>
      <c r="B5" s="13">
        <f>B2+B3</f>
        <v>204018.54900000006</v>
      </c>
    </row>
    <row r="6" spans="1:2" x14ac:dyDescent="0.35">
      <c r="A6" s="13"/>
      <c r="B6" s="13"/>
    </row>
    <row r="7" spans="1:2" x14ac:dyDescent="0.35">
      <c r="A7" s="12" t="s">
        <v>5</v>
      </c>
      <c r="B7" s="11"/>
    </row>
    <row r="8" spans="1:2" x14ac:dyDescent="0.35">
      <c r="A8" s="12" t="s">
        <v>6</v>
      </c>
      <c r="B8" s="1">
        <v>-179</v>
      </c>
    </row>
    <row r="9" spans="1:2" x14ac:dyDescent="0.35">
      <c r="A9" s="12" t="s">
        <v>7</v>
      </c>
      <c r="B9" s="1">
        <v>127</v>
      </c>
    </row>
    <row r="10" spans="1:2" x14ac:dyDescent="0.35">
      <c r="A10" s="17" t="s">
        <v>8</v>
      </c>
      <c r="B10" s="1">
        <v>166</v>
      </c>
    </row>
    <row r="11" spans="1:2" x14ac:dyDescent="0.35">
      <c r="A11" s="12" t="s">
        <v>9</v>
      </c>
      <c r="B11" s="1">
        <v>202</v>
      </c>
    </row>
    <row r="12" spans="1:2" x14ac:dyDescent="0.35">
      <c r="A12" s="3"/>
      <c r="B12" s="3"/>
    </row>
    <row r="13" spans="1:2" x14ac:dyDescent="0.35">
      <c r="A13" s="12" t="s">
        <v>28</v>
      </c>
      <c r="B13" s="14">
        <f>house!I$152/house!$H$152</f>
        <v>0.39747454017526601</v>
      </c>
    </row>
    <row r="14" spans="1:2" x14ac:dyDescent="0.35">
      <c r="A14" s="12" t="s">
        <v>29</v>
      </c>
      <c r="B14" s="14">
        <f>house!J$152/house!$H$152</f>
        <v>0.12790039829809788</v>
      </c>
    </row>
    <row r="15" spans="1:2" x14ac:dyDescent="0.35">
      <c r="A15" s="12" t="s">
        <v>30</v>
      </c>
      <c r="B15" s="14">
        <f>house!K$152/house!$H$152</f>
        <v>0.39257227366125408</v>
      </c>
    </row>
    <row r="16" spans="1:2" x14ac:dyDescent="0.35">
      <c r="A16" s="12" t="s">
        <v>31</v>
      </c>
      <c r="B16" s="14">
        <f>house!L$152/house!$H$152</f>
        <v>8.2052784876927964E-2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EBB5-4DA0-4750-B9B9-A216CBECFE3A}">
  <dimension ref="A1:S33"/>
  <sheetViews>
    <sheetView tabSelected="1" zoomScaleNormal="100" workbookViewId="0">
      <selection activeCell="H15" sqref="H15"/>
    </sheetView>
  </sheetViews>
  <sheetFormatPr defaultRowHeight="14.5" x14ac:dyDescent="0.35"/>
  <cols>
    <col min="2" max="3" width="9.7265625" bestFit="1" customWidth="1"/>
    <col min="4" max="4" width="8.81640625" bestFit="1" customWidth="1"/>
    <col min="5" max="5" width="9.7265625" bestFit="1" customWidth="1"/>
    <col min="6" max="6" width="8.81640625" bestFit="1" customWidth="1"/>
    <col min="7" max="7" width="7.7265625" customWidth="1"/>
    <col min="8" max="8" width="10" customWidth="1"/>
    <col min="9" max="9" width="10.1796875" customWidth="1"/>
    <col min="11" max="11" width="10.81640625" customWidth="1"/>
  </cols>
  <sheetData>
    <row r="1" spans="1:19" s="8" customFormat="1" ht="48.75" customHeight="1" x14ac:dyDescent="0.35">
      <c r="A1" s="9" t="s">
        <v>26</v>
      </c>
      <c r="B1" s="10" t="s">
        <v>11</v>
      </c>
      <c r="C1" s="10" t="s">
        <v>6</v>
      </c>
      <c r="D1" s="10" t="s">
        <v>7</v>
      </c>
      <c r="E1" s="9" t="s">
        <v>12</v>
      </c>
      <c r="F1" s="10" t="s">
        <v>9</v>
      </c>
      <c r="G1" s="10" t="s">
        <v>13</v>
      </c>
      <c r="H1" s="10" t="s">
        <v>14</v>
      </c>
      <c r="I1" s="10" t="s">
        <v>15</v>
      </c>
      <c r="J1" s="10" t="s">
        <v>16</v>
      </c>
      <c r="K1" s="9" t="s">
        <v>17</v>
      </c>
      <c r="L1" s="10" t="s">
        <v>18</v>
      </c>
      <c r="M1" s="10" t="s">
        <v>19</v>
      </c>
      <c r="N1" s="10" t="s">
        <v>20</v>
      </c>
      <c r="O1" s="10" t="s">
        <v>21</v>
      </c>
      <c r="P1" s="9" t="s">
        <v>27</v>
      </c>
      <c r="Q1" s="9" t="s">
        <v>22</v>
      </c>
      <c r="R1" s="9" t="s">
        <v>24</v>
      </c>
      <c r="S1" s="7" t="s">
        <v>25</v>
      </c>
    </row>
    <row r="2" spans="1:19" x14ac:dyDescent="0.35">
      <c r="A2">
        <v>1</v>
      </c>
      <c r="B2" s="2">
        <v>923466</v>
      </c>
      <c r="C2" s="2">
        <v>580402</v>
      </c>
      <c r="D2" s="2">
        <v>154300</v>
      </c>
      <c r="E2" s="2">
        <v>146949</v>
      </c>
      <c r="F2" s="2">
        <v>41815</v>
      </c>
      <c r="G2" s="22">
        <f>(C2/B2)</f>
        <v>0.6285039189315037</v>
      </c>
      <c r="H2" s="2">
        <v>923500</v>
      </c>
      <c r="I2" s="2">
        <v>581512</v>
      </c>
      <c r="J2" s="2">
        <v>154760</v>
      </c>
      <c r="K2" s="2">
        <v>145442</v>
      </c>
      <c r="L2" s="2">
        <v>41786</v>
      </c>
      <c r="M2" s="2">
        <v>33.99915</v>
      </c>
      <c r="N2" s="2">
        <v>1110</v>
      </c>
      <c r="O2" s="2">
        <v>459.99950000000001</v>
      </c>
      <c r="P2" s="2">
        <v>-1507</v>
      </c>
      <c r="Q2" s="2">
        <v>-29.000139999999998</v>
      </c>
      <c r="R2">
        <f>COUNTIFS(H2, "&lt;=" &amp; senatesum!$B$4)</f>
        <v>0</v>
      </c>
      <c r="S2">
        <f>COUNTIFS(H2, "&gt;=" &amp; senatesum!$B$5)</f>
        <v>0</v>
      </c>
    </row>
    <row r="3" spans="1:19" x14ac:dyDescent="0.35">
      <c r="A3">
        <v>2</v>
      </c>
      <c r="B3" s="2">
        <v>957994</v>
      </c>
      <c r="C3" s="2">
        <v>458609</v>
      </c>
      <c r="D3" s="2">
        <v>130763</v>
      </c>
      <c r="E3" s="2">
        <v>267926</v>
      </c>
      <c r="F3" s="2">
        <v>100696</v>
      </c>
      <c r="G3" s="22">
        <f t="shared" ref="G3:G32" si="0">(C3/B3)</f>
        <v>0.47871802954924564</v>
      </c>
      <c r="H3" s="2">
        <v>962081.1</v>
      </c>
      <c r="I3" s="2">
        <v>460357.6</v>
      </c>
      <c r="J3" s="2">
        <v>132234.1</v>
      </c>
      <c r="K3" s="2">
        <v>268755.8</v>
      </c>
      <c r="L3" s="2">
        <v>100733.5</v>
      </c>
      <c r="M3" s="2">
        <v>4087.056</v>
      </c>
      <c r="N3" s="2">
        <v>1748.633</v>
      </c>
      <c r="O3" s="2">
        <v>1471.14</v>
      </c>
      <c r="P3" s="2">
        <v>829.83040000000005</v>
      </c>
      <c r="Q3" s="2">
        <v>37.453049999999998</v>
      </c>
      <c r="R3">
        <f>COUNTIFS(H3, "&lt;=" &amp; senatesum!$B$4)</f>
        <v>0</v>
      </c>
      <c r="S3">
        <f>COUNTIFS(H3, "&gt;=" &amp; senatesum!$B$5)</f>
        <v>0</v>
      </c>
    </row>
    <row r="4" spans="1:19" x14ac:dyDescent="0.35">
      <c r="A4">
        <v>3</v>
      </c>
      <c r="B4" s="2">
        <v>962222</v>
      </c>
      <c r="C4" s="2">
        <v>585173</v>
      </c>
      <c r="D4" s="2">
        <v>166723</v>
      </c>
      <c r="E4" s="2">
        <v>169262</v>
      </c>
      <c r="F4" s="2">
        <v>41064</v>
      </c>
      <c r="G4" s="22">
        <f t="shared" si="0"/>
        <v>0.60814760003408774</v>
      </c>
      <c r="H4" s="2">
        <v>937064.7</v>
      </c>
      <c r="I4" s="2">
        <v>577804</v>
      </c>
      <c r="J4" s="2">
        <v>157582.1</v>
      </c>
      <c r="K4" s="2">
        <v>160760.9</v>
      </c>
      <c r="L4" s="2">
        <v>40917.760000000002</v>
      </c>
      <c r="M4" s="2">
        <v>-25157.27</v>
      </c>
      <c r="N4" s="2">
        <v>-7368.9930000000004</v>
      </c>
      <c r="O4" s="2">
        <v>-9140.9349999999995</v>
      </c>
      <c r="P4" s="2">
        <v>-8501.1020000000008</v>
      </c>
      <c r="Q4" s="2">
        <v>-146.24170000000001</v>
      </c>
      <c r="R4">
        <f>COUNTIFS(H4, "&lt;=" &amp; senatesum!$B$4)</f>
        <v>0</v>
      </c>
      <c r="S4">
        <f>COUNTIFS(H4, "&gt;=" &amp; senatesum!$B$5)</f>
        <v>0</v>
      </c>
    </row>
    <row r="5" spans="1:19" x14ac:dyDescent="0.35">
      <c r="A5">
        <v>4</v>
      </c>
      <c r="B5" s="2">
        <v>954803</v>
      </c>
      <c r="C5" s="2">
        <v>492630</v>
      </c>
      <c r="D5" s="2">
        <v>122549</v>
      </c>
      <c r="E5" s="2">
        <v>272901</v>
      </c>
      <c r="F5" s="2">
        <v>66723</v>
      </c>
      <c r="G5" s="22">
        <f t="shared" si="0"/>
        <v>0.51594936337652897</v>
      </c>
      <c r="H5" s="2">
        <v>958931.7</v>
      </c>
      <c r="I5" s="2">
        <v>494440.3</v>
      </c>
      <c r="J5" s="2">
        <v>124081</v>
      </c>
      <c r="K5" s="2">
        <v>273664.3</v>
      </c>
      <c r="L5" s="2">
        <v>66746.100000000006</v>
      </c>
      <c r="M5" s="2">
        <v>4128.7060000000001</v>
      </c>
      <c r="N5" s="2">
        <v>1810.3430000000001</v>
      </c>
      <c r="O5" s="2">
        <v>1531.9749999999999</v>
      </c>
      <c r="P5" s="2">
        <v>763.28660000000002</v>
      </c>
      <c r="Q5" s="2">
        <v>23.100629999999999</v>
      </c>
      <c r="R5">
        <f>COUNTIFS(H5, "&lt;=" &amp; senatesum!$B$4)</f>
        <v>0</v>
      </c>
      <c r="S5">
        <f>COUNTIFS(H5, "&gt;=" &amp; senatesum!$B$5)</f>
        <v>0</v>
      </c>
    </row>
    <row r="6" spans="1:19" x14ac:dyDescent="0.35">
      <c r="A6">
        <v>5</v>
      </c>
      <c r="B6" s="2">
        <v>931924</v>
      </c>
      <c r="C6" s="2">
        <v>508428</v>
      </c>
      <c r="D6" s="2">
        <v>99601</v>
      </c>
      <c r="E6" s="2">
        <v>252135</v>
      </c>
      <c r="F6" s="2">
        <v>71760</v>
      </c>
      <c r="G6" s="22">
        <f t="shared" si="0"/>
        <v>0.54556809353552438</v>
      </c>
      <c r="H6" s="2">
        <v>918912.8</v>
      </c>
      <c r="I6" s="2">
        <v>504332.6</v>
      </c>
      <c r="J6" s="2">
        <v>95149.4</v>
      </c>
      <c r="K6" s="2">
        <v>247757.4</v>
      </c>
      <c r="L6" s="2">
        <v>71673.42</v>
      </c>
      <c r="M6" s="2">
        <v>-13011.19</v>
      </c>
      <c r="N6" s="2">
        <v>-4095.4160000000002</v>
      </c>
      <c r="O6" s="2">
        <v>-4451.5969999999998</v>
      </c>
      <c r="P6" s="2">
        <v>-4377.607</v>
      </c>
      <c r="Q6" s="2">
        <v>-86.576279999999997</v>
      </c>
      <c r="R6">
        <f>COUNTIFS(H6, "&lt;=" &amp; senatesum!$B$4)</f>
        <v>0</v>
      </c>
      <c r="S6">
        <f>COUNTIFS(H6, "&gt;=" &amp; senatesum!$B$5)</f>
        <v>0</v>
      </c>
    </row>
    <row r="7" spans="1:19" x14ac:dyDescent="0.35">
      <c r="A7">
        <v>6</v>
      </c>
      <c r="B7" s="2">
        <v>959881</v>
      </c>
      <c r="C7" s="2">
        <v>101674</v>
      </c>
      <c r="D7" s="2">
        <v>137377</v>
      </c>
      <c r="E7" s="2">
        <v>687842</v>
      </c>
      <c r="F7" s="2">
        <v>32988</v>
      </c>
      <c r="G7" s="22">
        <f t="shared" si="0"/>
        <v>0.10592354677298541</v>
      </c>
      <c r="H7" s="2">
        <v>963640.8</v>
      </c>
      <c r="I7" s="2">
        <v>101923.5</v>
      </c>
      <c r="J7" s="2">
        <v>138903.1</v>
      </c>
      <c r="K7" s="2">
        <v>689813.3</v>
      </c>
      <c r="L7" s="2">
        <v>33000.93</v>
      </c>
      <c r="M7" s="2">
        <v>3759.7959999999998</v>
      </c>
      <c r="N7" s="2">
        <v>249.50110000000001</v>
      </c>
      <c r="O7" s="2">
        <v>1526.0820000000001</v>
      </c>
      <c r="P7" s="2">
        <v>1971.287</v>
      </c>
      <c r="Q7" s="2">
        <v>12.92581</v>
      </c>
      <c r="R7">
        <f>COUNTIFS(H7, "&lt;=" &amp; senatesum!$B$4)</f>
        <v>0</v>
      </c>
      <c r="S7">
        <f>COUNTIFS(H7, "&gt;=" &amp; senatesum!$B$5)</f>
        <v>0</v>
      </c>
    </row>
    <row r="8" spans="1:19" x14ac:dyDescent="0.35">
      <c r="A8">
        <v>7</v>
      </c>
      <c r="B8" s="2">
        <v>954011</v>
      </c>
      <c r="C8" s="2">
        <v>413253</v>
      </c>
      <c r="D8" s="2">
        <v>129538</v>
      </c>
      <c r="E8" s="2">
        <v>294159</v>
      </c>
      <c r="F8" s="2">
        <v>117061</v>
      </c>
      <c r="G8" s="22">
        <f t="shared" si="0"/>
        <v>0.43317425061136611</v>
      </c>
      <c r="H8" s="2">
        <v>957424.7</v>
      </c>
      <c r="I8" s="2">
        <v>414335.7</v>
      </c>
      <c r="J8" s="2">
        <v>130980.7</v>
      </c>
      <c r="K8" s="2">
        <v>295001.8</v>
      </c>
      <c r="L8" s="2">
        <v>117106.5</v>
      </c>
      <c r="M8" s="2">
        <v>3413.723</v>
      </c>
      <c r="N8" s="2">
        <v>1082.6759999999999</v>
      </c>
      <c r="O8" s="2">
        <v>1442.73</v>
      </c>
      <c r="P8" s="2">
        <v>842.8107</v>
      </c>
      <c r="Q8" s="2">
        <v>45.504930000000002</v>
      </c>
      <c r="R8">
        <f>COUNTIFS(H8, "&lt;=" &amp; senatesum!$B$4)</f>
        <v>0</v>
      </c>
      <c r="S8">
        <f>COUNTIFS(H8, "&gt;=" &amp; senatesum!$B$5)</f>
        <v>0</v>
      </c>
    </row>
    <row r="9" spans="1:19" x14ac:dyDescent="0.35">
      <c r="A9">
        <v>8</v>
      </c>
      <c r="B9" s="2">
        <v>963125</v>
      </c>
      <c r="C9" s="2">
        <v>522756</v>
      </c>
      <c r="D9" s="2">
        <v>102474</v>
      </c>
      <c r="E9" s="2">
        <v>161400</v>
      </c>
      <c r="F9" s="2">
        <v>176495</v>
      </c>
      <c r="G9" s="22">
        <f t="shared" si="0"/>
        <v>0.54277066839714472</v>
      </c>
      <c r="H9" s="2">
        <v>965355.6</v>
      </c>
      <c r="I9" s="2">
        <v>523935.4</v>
      </c>
      <c r="J9" s="2">
        <v>103063.7</v>
      </c>
      <c r="K9" s="2">
        <v>161826</v>
      </c>
      <c r="L9" s="2">
        <v>176530.5</v>
      </c>
      <c r="M9" s="2">
        <v>2230.6320000000001</v>
      </c>
      <c r="N9" s="2">
        <v>1179.403</v>
      </c>
      <c r="O9" s="2">
        <v>589.73839999999996</v>
      </c>
      <c r="P9" s="2">
        <v>425.95769999999999</v>
      </c>
      <c r="Q9" s="2">
        <v>35.533119999999997</v>
      </c>
      <c r="R9">
        <f>COUNTIFS(H9, "&lt;=" &amp; senatesum!$B$4)</f>
        <v>0</v>
      </c>
      <c r="S9">
        <f>COUNTIFS(H9, "&gt;=" &amp; senatesum!$B$5)</f>
        <v>0</v>
      </c>
    </row>
    <row r="10" spans="1:19" x14ac:dyDescent="0.35">
      <c r="A10">
        <v>9</v>
      </c>
      <c r="B10" s="2">
        <v>964126</v>
      </c>
      <c r="C10" s="2">
        <v>485644</v>
      </c>
      <c r="D10" s="2">
        <v>107616</v>
      </c>
      <c r="E10" s="2">
        <v>279040</v>
      </c>
      <c r="F10" s="2">
        <v>91826</v>
      </c>
      <c r="G10" s="22">
        <f t="shared" si="0"/>
        <v>0.50371424481862326</v>
      </c>
      <c r="H10" s="2">
        <v>968075</v>
      </c>
      <c r="I10" s="2">
        <v>487418.3</v>
      </c>
      <c r="J10" s="2">
        <v>108747</v>
      </c>
      <c r="K10" s="2">
        <v>280047.59999999998</v>
      </c>
      <c r="L10" s="2">
        <v>91862.13</v>
      </c>
      <c r="M10" s="2">
        <v>3948.9940000000001</v>
      </c>
      <c r="N10" s="2">
        <v>1774.3050000000001</v>
      </c>
      <c r="O10" s="2">
        <v>1130.989</v>
      </c>
      <c r="P10" s="2">
        <v>1007.57</v>
      </c>
      <c r="Q10" s="2">
        <v>36.129980000000003</v>
      </c>
      <c r="R10">
        <f>COUNTIFS(H10, "&lt;=" &amp; senatesum!$B$4)</f>
        <v>0</v>
      </c>
      <c r="S10">
        <f>COUNTIFS(H10, "&gt;=" &amp; senatesum!$B$5)</f>
        <v>0</v>
      </c>
    </row>
    <row r="11" spans="1:19" x14ac:dyDescent="0.35">
      <c r="A11">
        <v>10</v>
      </c>
      <c r="B11" s="2">
        <v>935869</v>
      </c>
      <c r="C11" s="2">
        <v>458713</v>
      </c>
      <c r="D11" s="2">
        <v>158732</v>
      </c>
      <c r="E11" s="2">
        <v>263847</v>
      </c>
      <c r="F11" s="2">
        <v>54577</v>
      </c>
      <c r="G11" s="22">
        <f t="shared" si="0"/>
        <v>0.49014659102930003</v>
      </c>
      <c r="H11" s="2">
        <v>939972.1</v>
      </c>
      <c r="I11" s="2">
        <v>460970.4</v>
      </c>
      <c r="J11" s="2">
        <v>160014.9</v>
      </c>
      <c r="K11" s="2">
        <v>264397.40000000002</v>
      </c>
      <c r="L11" s="2">
        <v>54589.36</v>
      </c>
      <c r="M11" s="2">
        <v>4103.1019999999999</v>
      </c>
      <c r="N11" s="2">
        <v>2257.442</v>
      </c>
      <c r="O11" s="2">
        <v>1282.914</v>
      </c>
      <c r="P11" s="2">
        <v>550.38430000000005</v>
      </c>
      <c r="Q11" s="2">
        <v>12.36115</v>
      </c>
      <c r="R11">
        <f>COUNTIFS(H11, "&lt;=" &amp; senatesum!$B$4)</f>
        <v>0</v>
      </c>
      <c r="S11">
        <f>COUNTIFS(H11, "&gt;=" &amp; senatesum!$B$5)</f>
        <v>0</v>
      </c>
    </row>
    <row r="12" spans="1:19" x14ac:dyDescent="0.35">
      <c r="A12">
        <v>11</v>
      </c>
      <c r="B12" s="2">
        <v>917878</v>
      </c>
      <c r="C12" s="2">
        <v>435720</v>
      </c>
      <c r="D12" s="2">
        <v>121991</v>
      </c>
      <c r="E12" s="2">
        <v>272085</v>
      </c>
      <c r="F12" s="2">
        <v>88082</v>
      </c>
      <c r="G12" s="22">
        <f t="shared" si="0"/>
        <v>0.47470360984793186</v>
      </c>
      <c r="H12" s="2">
        <v>914739.9</v>
      </c>
      <c r="I12" s="2">
        <v>434698.7</v>
      </c>
      <c r="J12" s="2">
        <v>121006.5</v>
      </c>
      <c r="K12" s="2">
        <v>270973.59999999998</v>
      </c>
      <c r="L12" s="2">
        <v>88061.18</v>
      </c>
      <c r="M12" s="2">
        <v>-3138.0630000000001</v>
      </c>
      <c r="N12" s="2">
        <v>-1021.327</v>
      </c>
      <c r="O12" s="2">
        <v>-984.47190000000001</v>
      </c>
      <c r="P12" s="2">
        <v>-1111.443</v>
      </c>
      <c r="Q12" s="2">
        <v>-20.819839999999999</v>
      </c>
      <c r="R12">
        <f>COUNTIFS(H12, "&lt;=" &amp; senatesum!$B$4)</f>
        <v>0</v>
      </c>
      <c r="S12">
        <f>COUNTIFS(H12, "&gt;=" &amp; senatesum!$B$5)</f>
        <v>0</v>
      </c>
    </row>
    <row r="13" spans="1:19" x14ac:dyDescent="0.35">
      <c r="A13">
        <v>12</v>
      </c>
      <c r="B13" s="2">
        <v>960904</v>
      </c>
      <c r="C13" s="2">
        <v>524560</v>
      </c>
      <c r="D13" s="2">
        <v>86236</v>
      </c>
      <c r="E13" s="2">
        <v>199258</v>
      </c>
      <c r="F13" s="2">
        <v>150850</v>
      </c>
      <c r="G13" s="22">
        <f t="shared" si="0"/>
        <v>0.54590260837711158</v>
      </c>
      <c r="H13" s="2">
        <v>962962</v>
      </c>
      <c r="I13" s="2">
        <v>525774</v>
      </c>
      <c r="J13" s="2">
        <v>86761.36</v>
      </c>
      <c r="K13" s="2">
        <v>199543</v>
      </c>
      <c r="L13" s="2">
        <v>150883.6</v>
      </c>
      <c r="M13" s="2">
        <v>2058.049</v>
      </c>
      <c r="N13" s="2">
        <v>1214.028</v>
      </c>
      <c r="O13" s="2">
        <v>525.36120000000005</v>
      </c>
      <c r="P13" s="2">
        <v>285.02769999999998</v>
      </c>
      <c r="Q13" s="2">
        <v>33.63259</v>
      </c>
      <c r="R13">
        <f>COUNTIFS(H13, "&lt;=" &amp; senatesum!$B$4)</f>
        <v>0</v>
      </c>
      <c r="S13">
        <f>COUNTIFS(H13, "&gt;=" &amp; senatesum!$B$5)</f>
        <v>0</v>
      </c>
    </row>
    <row r="14" spans="1:19" x14ac:dyDescent="0.35">
      <c r="A14">
        <v>13</v>
      </c>
      <c r="B14" s="2">
        <v>946273</v>
      </c>
      <c r="C14" s="2">
        <v>103018</v>
      </c>
      <c r="D14" s="2">
        <v>364705</v>
      </c>
      <c r="E14" s="2">
        <v>364515</v>
      </c>
      <c r="F14" s="2">
        <v>114035</v>
      </c>
      <c r="G14" s="22">
        <f t="shared" si="0"/>
        <v>0.10886710283396017</v>
      </c>
      <c r="H14" s="2">
        <v>950884.1</v>
      </c>
      <c r="I14" s="2">
        <v>103222.6</v>
      </c>
      <c r="J14" s="2">
        <v>368093.5</v>
      </c>
      <c r="K14" s="2">
        <v>365500.7</v>
      </c>
      <c r="L14" s="2">
        <v>114067.3</v>
      </c>
      <c r="M14" s="2">
        <v>4611.1009999999997</v>
      </c>
      <c r="N14" s="2">
        <v>204.5693</v>
      </c>
      <c r="O14" s="2">
        <v>3388.45</v>
      </c>
      <c r="P14" s="2">
        <v>985.73519999999996</v>
      </c>
      <c r="Q14" s="2">
        <v>32.34592</v>
      </c>
      <c r="R14">
        <f>COUNTIFS(H14, "&lt;=" &amp; senatesum!$B$4)</f>
        <v>0</v>
      </c>
      <c r="S14">
        <f>COUNTIFS(H14, "&gt;=" &amp; senatesum!$B$5)</f>
        <v>0</v>
      </c>
    </row>
    <row r="15" spans="1:19" x14ac:dyDescent="0.35">
      <c r="A15">
        <v>14</v>
      </c>
      <c r="B15" s="2">
        <v>956417</v>
      </c>
      <c r="C15" s="2">
        <v>460115</v>
      </c>
      <c r="D15" s="2">
        <v>88437</v>
      </c>
      <c r="E15" s="2">
        <v>289992</v>
      </c>
      <c r="F15" s="2">
        <v>117873</v>
      </c>
      <c r="G15" s="22">
        <f t="shared" si="0"/>
        <v>0.48108199666045248</v>
      </c>
      <c r="H15" s="2">
        <v>958068.2</v>
      </c>
      <c r="I15" s="2">
        <v>460370</v>
      </c>
      <c r="J15" s="2">
        <v>89118.2</v>
      </c>
      <c r="K15" s="2">
        <v>290697.7</v>
      </c>
      <c r="L15" s="2">
        <v>117882.2</v>
      </c>
      <c r="M15" s="2">
        <v>1651.1679999999999</v>
      </c>
      <c r="N15" s="2">
        <v>255.0455</v>
      </c>
      <c r="O15" s="2">
        <v>681.19529999999997</v>
      </c>
      <c r="P15" s="2">
        <v>705.69889999999998</v>
      </c>
      <c r="Q15" s="2">
        <v>9.2283290000000004</v>
      </c>
      <c r="R15">
        <f>COUNTIFS(H15, "&lt;=" &amp; senatesum!$B$4)</f>
        <v>0</v>
      </c>
      <c r="S15">
        <f>COUNTIFS(H15, "&gt;=" &amp; senatesum!$B$5)</f>
        <v>0</v>
      </c>
    </row>
    <row r="16" spans="1:19" x14ac:dyDescent="0.35">
      <c r="A16">
        <v>15</v>
      </c>
      <c r="B16" s="2">
        <v>947818</v>
      </c>
      <c r="C16" s="2">
        <v>272500</v>
      </c>
      <c r="D16" s="2">
        <v>198676</v>
      </c>
      <c r="E16" s="2">
        <v>382276</v>
      </c>
      <c r="F16" s="2">
        <v>94366</v>
      </c>
      <c r="G16" s="22">
        <f t="shared" si="0"/>
        <v>0.28750245300258065</v>
      </c>
      <c r="H16" s="2">
        <v>950008.8</v>
      </c>
      <c r="I16" s="2">
        <v>272493</v>
      </c>
      <c r="J16" s="2">
        <v>200197.5</v>
      </c>
      <c r="K16" s="2">
        <v>382924.3</v>
      </c>
      <c r="L16" s="2">
        <v>94393.97</v>
      </c>
      <c r="M16" s="2">
        <v>2190.806</v>
      </c>
      <c r="N16" s="2">
        <v>-6.9571180000000004</v>
      </c>
      <c r="O16" s="2">
        <v>1521.5039999999999</v>
      </c>
      <c r="P16" s="2">
        <v>648.28750000000002</v>
      </c>
      <c r="Q16" s="2">
        <v>27.972249999999999</v>
      </c>
      <c r="R16">
        <f>COUNTIFS(H16, "&lt;=" &amp; senatesum!$B$4)</f>
        <v>0</v>
      </c>
      <c r="S16">
        <f>COUNTIFS(H16, "&gt;=" &amp; senatesum!$B$5)</f>
        <v>0</v>
      </c>
    </row>
    <row r="17" spans="1:19" x14ac:dyDescent="0.35">
      <c r="A17">
        <v>16</v>
      </c>
      <c r="B17" s="2">
        <v>963453</v>
      </c>
      <c r="C17" s="2">
        <v>256200</v>
      </c>
      <c r="D17" s="2">
        <v>154574</v>
      </c>
      <c r="E17" s="2">
        <v>475234</v>
      </c>
      <c r="F17" s="2">
        <v>77445</v>
      </c>
      <c r="G17" s="22">
        <f t="shared" si="0"/>
        <v>0.2659185243078801</v>
      </c>
      <c r="H17" s="2">
        <v>967694.6</v>
      </c>
      <c r="I17" s="2">
        <v>257009.8</v>
      </c>
      <c r="J17" s="2">
        <v>156425.1</v>
      </c>
      <c r="K17" s="2">
        <v>476787.1</v>
      </c>
      <c r="L17" s="2">
        <v>77472.56</v>
      </c>
      <c r="M17" s="2">
        <v>4241.6369999999997</v>
      </c>
      <c r="N17" s="2">
        <v>809.80799999999999</v>
      </c>
      <c r="O17" s="2">
        <v>1851.1410000000001</v>
      </c>
      <c r="P17" s="2">
        <v>1553.127</v>
      </c>
      <c r="Q17" s="2">
        <v>27.560079999999999</v>
      </c>
      <c r="R17">
        <f>COUNTIFS(H17, "&lt;=" &amp; senatesum!$B$4)</f>
        <v>0</v>
      </c>
      <c r="S17">
        <f>COUNTIFS(H17, "&gt;=" &amp; senatesum!$B$5)</f>
        <v>0</v>
      </c>
    </row>
    <row r="18" spans="1:19" x14ac:dyDescent="0.35">
      <c r="A18">
        <v>17</v>
      </c>
      <c r="B18" s="2">
        <v>912711</v>
      </c>
      <c r="C18" s="2">
        <v>409781</v>
      </c>
      <c r="D18" s="2">
        <v>110809</v>
      </c>
      <c r="E18" s="2">
        <v>253823</v>
      </c>
      <c r="F18" s="2">
        <v>138298</v>
      </c>
      <c r="G18" s="22">
        <f t="shared" si="0"/>
        <v>0.44897125157908691</v>
      </c>
      <c r="H18" s="2">
        <v>913616.1</v>
      </c>
      <c r="I18" s="2">
        <v>410228.2</v>
      </c>
      <c r="J18" s="2">
        <v>111044.5</v>
      </c>
      <c r="K18" s="2">
        <v>254017.2</v>
      </c>
      <c r="L18" s="2">
        <v>138326.29999999999</v>
      </c>
      <c r="M18" s="2">
        <v>905.12940000000003</v>
      </c>
      <c r="N18" s="2">
        <v>447.15120000000002</v>
      </c>
      <c r="O18" s="2">
        <v>235.50450000000001</v>
      </c>
      <c r="P18" s="2">
        <v>194.2115</v>
      </c>
      <c r="Q18" s="2">
        <v>28.262699999999999</v>
      </c>
      <c r="R18">
        <f>COUNTIFS(H18, "&lt;=" &amp; senatesum!$B$4)</f>
        <v>0</v>
      </c>
      <c r="S18">
        <f>COUNTIFS(H18, "&gt;=" &amp; senatesum!$B$5)</f>
        <v>0</v>
      </c>
    </row>
    <row r="19" spans="1:19" x14ac:dyDescent="0.35">
      <c r="A19">
        <v>18</v>
      </c>
      <c r="B19" s="2">
        <v>945180</v>
      </c>
      <c r="C19" s="2">
        <v>376575</v>
      </c>
      <c r="D19" s="2">
        <v>144845</v>
      </c>
      <c r="E19" s="2">
        <v>286923</v>
      </c>
      <c r="F19" s="2">
        <v>136837</v>
      </c>
      <c r="G19" s="22">
        <f t="shared" si="0"/>
        <v>0.39841617469688312</v>
      </c>
      <c r="H19" s="2">
        <v>943427.1</v>
      </c>
      <c r="I19" s="2">
        <v>375567</v>
      </c>
      <c r="J19" s="2">
        <v>144460.20000000001</v>
      </c>
      <c r="K19" s="2">
        <v>286570.90000000002</v>
      </c>
      <c r="L19" s="2">
        <v>136828.9</v>
      </c>
      <c r="M19" s="2">
        <v>-1752.9269999999999</v>
      </c>
      <c r="N19" s="2">
        <v>-1007.966</v>
      </c>
      <c r="O19" s="2">
        <v>-384.8374</v>
      </c>
      <c r="P19" s="2">
        <v>-352.07409999999999</v>
      </c>
      <c r="Q19" s="2">
        <v>-8.0503549999999997</v>
      </c>
      <c r="R19">
        <f>COUNTIFS(H19, "&lt;=" &amp; senatesum!$B$4)</f>
        <v>0</v>
      </c>
      <c r="S19">
        <f>COUNTIFS(H19, "&gt;=" &amp; senatesum!$B$5)</f>
        <v>0</v>
      </c>
    </row>
    <row r="20" spans="1:19" x14ac:dyDescent="0.35">
      <c r="A20">
        <v>19</v>
      </c>
      <c r="B20" s="2">
        <v>911273</v>
      </c>
      <c r="C20" s="2">
        <v>193448</v>
      </c>
      <c r="D20" s="2">
        <v>75167</v>
      </c>
      <c r="E20" s="2">
        <v>603273</v>
      </c>
      <c r="F20" s="2">
        <v>39385</v>
      </c>
      <c r="G20" s="22">
        <f t="shared" si="0"/>
        <v>0.21228325649942442</v>
      </c>
      <c r="H20" s="2">
        <v>912143.8</v>
      </c>
      <c r="I20" s="2">
        <v>193304.6</v>
      </c>
      <c r="J20" s="2">
        <v>75046.58</v>
      </c>
      <c r="K20" s="2">
        <v>604407.69999999995</v>
      </c>
      <c r="L20" s="2">
        <v>39385</v>
      </c>
      <c r="M20" s="2">
        <v>870.80769999999995</v>
      </c>
      <c r="N20" s="2">
        <v>-143.4359</v>
      </c>
      <c r="O20" s="2">
        <v>-120.4187</v>
      </c>
      <c r="P20" s="2">
        <v>1134.665</v>
      </c>
      <c r="Q20" s="2">
        <v>-3.5411000000000002E-3</v>
      </c>
      <c r="R20">
        <f>COUNTIFS(H20, "&lt;=" &amp; senatesum!$B$4)</f>
        <v>0</v>
      </c>
      <c r="S20">
        <f>COUNTIFS(H20, "&gt;=" &amp; senatesum!$B$5)</f>
        <v>0</v>
      </c>
    </row>
    <row r="21" spans="1:19" x14ac:dyDescent="0.35">
      <c r="A21">
        <v>20</v>
      </c>
      <c r="B21" s="2">
        <v>920148</v>
      </c>
      <c r="C21" s="2">
        <v>122663</v>
      </c>
      <c r="D21" s="2">
        <v>16220</v>
      </c>
      <c r="E21" s="2">
        <v>757422</v>
      </c>
      <c r="F21" s="2">
        <v>23843</v>
      </c>
      <c r="G21" s="22">
        <f t="shared" si="0"/>
        <v>0.13330790264174894</v>
      </c>
      <c r="H21" s="2">
        <v>921863.2</v>
      </c>
      <c r="I21" s="2">
        <v>122603.1</v>
      </c>
      <c r="J21" s="2">
        <v>15943.62</v>
      </c>
      <c r="K21" s="2">
        <v>759474.1</v>
      </c>
      <c r="L21" s="2">
        <v>23842.34</v>
      </c>
      <c r="M21" s="2">
        <v>1715.2149999999999</v>
      </c>
      <c r="N21" s="2">
        <v>-59.895870000000002</v>
      </c>
      <c r="O21" s="2">
        <v>-276.38069999999999</v>
      </c>
      <c r="P21" s="2">
        <v>2052.1469999999999</v>
      </c>
      <c r="Q21" s="2">
        <v>-0.65609379999999995</v>
      </c>
      <c r="R21">
        <f>COUNTIFS(H21, "&lt;=" &amp; senatesum!$B$4)</f>
        <v>0</v>
      </c>
      <c r="S21">
        <f>COUNTIFS(H21, "&gt;=" &amp; senatesum!$B$5)</f>
        <v>0</v>
      </c>
    </row>
    <row r="22" spans="1:19" x14ac:dyDescent="0.35">
      <c r="A22">
        <v>21</v>
      </c>
      <c r="B22" s="2">
        <v>907942</v>
      </c>
      <c r="C22" s="2">
        <v>213637</v>
      </c>
      <c r="D22" s="2">
        <v>34591</v>
      </c>
      <c r="E22" s="2">
        <v>627916</v>
      </c>
      <c r="F22" s="2">
        <v>31798</v>
      </c>
      <c r="G22" s="22">
        <f t="shared" si="0"/>
        <v>0.23529806970048747</v>
      </c>
      <c r="H22" s="2">
        <v>906140.8</v>
      </c>
      <c r="I22" s="2">
        <v>212495.5</v>
      </c>
      <c r="J22" s="2">
        <v>33703.53</v>
      </c>
      <c r="K22" s="2">
        <v>628164.6</v>
      </c>
      <c r="L22" s="2">
        <v>31777.21</v>
      </c>
      <c r="M22" s="2">
        <v>-1801.2090000000001</v>
      </c>
      <c r="N22" s="2">
        <v>-1141.5170000000001</v>
      </c>
      <c r="O22" s="2">
        <v>-887.46569999999997</v>
      </c>
      <c r="P22" s="2">
        <v>248.56180000000001</v>
      </c>
      <c r="Q22" s="2">
        <v>-20.787749999999999</v>
      </c>
      <c r="R22">
        <f>COUNTIFS(H22, "&lt;=" &amp; senatesum!$B$4)</f>
        <v>0</v>
      </c>
      <c r="S22">
        <f>COUNTIFS(H22, "&gt;=" &amp; senatesum!$B$5)</f>
        <v>0</v>
      </c>
    </row>
    <row r="23" spans="1:19" x14ac:dyDescent="0.35">
      <c r="A23">
        <v>22</v>
      </c>
      <c r="B23" s="2">
        <v>960493</v>
      </c>
      <c r="C23" s="2">
        <v>485826</v>
      </c>
      <c r="D23" s="2">
        <v>159761</v>
      </c>
      <c r="E23" s="2">
        <v>242869</v>
      </c>
      <c r="F23" s="2">
        <v>72037</v>
      </c>
      <c r="G23" s="22">
        <f t="shared" si="0"/>
        <v>0.50580899600517648</v>
      </c>
      <c r="H23" s="2">
        <v>966031.9</v>
      </c>
      <c r="I23" s="2">
        <v>488320</v>
      </c>
      <c r="J23" s="2">
        <v>161802.6</v>
      </c>
      <c r="K23" s="2">
        <v>243851.2</v>
      </c>
      <c r="L23" s="2">
        <v>72058.02</v>
      </c>
      <c r="M23" s="2">
        <v>5538.8620000000001</v>
      </c>
      <c r="N23" s="2">
        <v>2493.9920000000002</v>
      </c>
      <c r="O23" s="2">
        <v>2041.605</v>
      </c>
      <c r="P23" s="2">
        <v>982.24090000000001</v>
      </c>
      <c r="Q23" s="2">
        <v>21.024660000000001</v>
      </c>
      <c r="R23">
        <f>COUNTIFS(H23, "&lt;=" &amp; senatesum!$B$4)</f>
        <v>0</v>
      </c>
      <c r="S23">
        <f>COUNTIFS(H23, "&gt;=" &amp; senatesum!$B$5)</f>
        <v>0</v>
      </c>
    </row>
    <row r="24" spans="1:19" x14ac:dyDescent="0.35">
      <c r="A24">
        <v>23</v>
      </c>
      <c r="B24" s="2">
        <v>963305</v>
      </c>
      <c r="C24" s="2">
        <v>170965</v>
      </c>
      <c r="D24" s="2">
        <v>370969</v>
      </c>
      <c r="E24" s="2">
        <v>373795</v>
      </c>
      <c r="F24" s="2">
        <v>47576</v>
      </c>
      <c r="G24" s="22">
        <f t="shared" si="0"/>
        <v>0.17747753826669643</v>
      </c>
      <c r="H24" s="2">
        <v>967647.9</v>
      </c>
      <c r="I24" s="2">
        <v>170697</v>
      </c>
      <c r="J24" s="2">
        <v>374692.8</v>
      </c>
      <c r="K24" s="2">
        <v>374673.7</v>
      </c>
      <c r="L24" s="2">
        <v>47584.44</v>
      </c>
      <c r="M24" s="2">
        <v>4342.9210000000003</v>
      </c>
      <c r="N24" s="2">
        <v>-268.00069999999999</v>
      </c>
      <c r="O24" s="2">
        <v>3723.752</v>
      </c>
      <c r="P24" s="2">
        <v>878.7319</v>
      </c>
      <c r="Q24" s="2">
        <v>8.436591</v>
      </c>
      <c r="R24">
        <f>COUNTIFS(H24, "&lt;=" &amp; senatesum!$B$4)</f>
        <v>0</v>
      </c>
      <c r="S24">
        <f>COUNTIFS(H24, "&gt;=" &amp; senatesum!$B$5)</f>
        <v>0</v>
      </c>
    </row>
    <row r="25" spans="1:19" x14ac:dyDescent="0.35">
      <c r="A25">
        <v>24</v>
      </c>
      <c r="B25" s="2">
        <v>961334</v>
      </c>
      <c r="C25" s="2">
        <v>504083</v>
      </c>
      <c r="D25" s="2">
        <v>124521</v>
      </c>
      <c r="E25" s="2">
        <v>244971</v>
      </c>
      <c r="F25" s="2">
        <v>87759</v>
      </c>
      <c r="G25" s="22">
        <f t="shared" si="0"/>
        <v>0.5243578194467271</v>
      </c>
      <c r="H25" s="2">
        <v>956182.4</v>
      </c>
      <c r="I25" s="2">
        <v>502264.4</v>
      </c>
      <c r="J25" s="2">
        <v>122868</v>
      </c>
      <c r="K25" s="2">
        <v>243320.4</v>
      </c>
      <c r="L25" s="2">
        <v>87729.58</v>
      </c>
      <c r="M25" s="2">
        <v>-5151.5839999999998</v>
      </c>
      <c r="N25" s="2">
        <v>-1818.5719999999999</v>
      </c>
      <c r="O25" s="2">
        <v>-1653.0050000000001</v>
      </c>
      <c r="P25" s="2">
        <v>-1650.5830000000001</v>
      </c>
      <c r="Q25" s="2">
        <v>-29.424029999999998</v>
      </c>
      <c r="R25">
        <f>COUNTIFS(H25, "&lt;=" &amp; senatesum!$B$4)</f>
        <v>0</v>
      </c>
      <c r="S25">
        <f>COUNTIFS(H25, "&gt;=" &amp; senatesum!$B$5)</f>
        <v>0</v>
      </c>
    </row>
    <row r="26" spans="1:19" x14ac:dyDescent="0.35">
      <c r="A26">
        <v>25</v>
      </c>
      <c r="B26" s="2">
        <v>916282</v>
      </c>
      <c r="C26" s="2">
        <v>538637</v>
      </c>
      <c r="D26" s="2">
        <v>44101</v>
      </c>
      <c r="E26" s="2">
        <v>261707</v>
      </c>
      <c r="F26" s="2">
        <v>71837</v>
      </c>
      <c r="G26" s="22">
        <f t="shared" si="0"/>
        <v>0.58785068352319481</v>
      </c>
      <c r="H26" s="2">
        <v>919637.6</v>
      </c>
      <c r="I26" s="2">
        <v>540071.6</v>
      </c>
      <c r="J26" s="2">
        <v>44524.37</v>
      </c>
      <c r="K26" s="2">
        <v>263182</v>
      </c>
      <c r="L26" s="2">
        <v>71859.710000000006</v>
      </c>
      <c r="M26" s="2">
        <v>3355.6060000000002</v>
      </c>
      <c r="N26" s="2">
        <v>1434.579</v>
      </c>
      <c r="O26" s="2">
        <v>423.36559999999997</v>
      </c>
      <c r="P26" s="2">
        <v>1474.9570000000001</v>
      </c>
      <c r="Q26" s="2">
        <v>22.704999999999998</v>
      </c>
      <c r="R26">
        <f>COUNTIFS(H26, "&lt;=" &amp; senatesum!$B$4)</f>
        <v>0</v>
      </c>
      <c r="S26">
        <f>COUNTIFS(H26, "&gt;=" &amp; senatesum!$B$5)</f>
        <v>0</v>
      </c>
    </row>
    <row r="27" spans="1:19" x14ac:dyDescent="0.35">
      <c r="A27">
        <v>26</v>
      </c>
      <c r="B27" s="2">
        <v>923790</v>
      </c>
      <c r="C27" s="2">
        <v>195965</v>
      </c>
      <c r="D27" s="2">
        <v>73425</v>
      </c>
      <c r="E27" s="2">
        <v>606484</v>
      </c>
      <c r="F27" s="2">
        <v>47916</v>
      </c>
      <c r="G27" s="22">
        <f t="shared" si="0"/>
        <v>0.21213154504811699</v>
      </c>
      <c r="H27" s="2">
        <v>928306.1</v>
      </c>
      <c r="I27" s="2">
        <v>196470.2</v>
      </c>
      <c r="J27" s="2">
        <v>74187.929999999993</v>
      </c>
      <c r="K27" s="2">
        <v>609716.1</v>
      </c>
      <c r="L27" s="2">
        <v>47931.86</v>
      </c>
      <c r="M27" s="2">
        <v>4516.0870000000004</v>
      </c>
      <c r="N27" s="2">
        <v>505.2183</v>
      </c>
      <c r="O27" s="2">
        <v>762.92920000000004</v>
      </c>
      <c r="P27" s="2">
        <v>3232.0830000000001</v>
      </c>
      <c r="Q27" s="2">
        <v>15.85722</v>
      </c>
      <c r="R27">
        <f>COUNTIFS(H27, "&lt;=" &amp; senatesum!$B$4)</f>
        <v>0</v>
      </c>
      <c r="S27">
        <f>COUNTIFS(H27, "&gt;=" &amp; senatesum!$B$5)</f>
        <v>0</v>
      </c>
    </row>
    <row r="28" spans="1:19" x14ac:dyDescent="0.35">
      <c r="A28">
        <v>27</v>
      </c>
      <c r="B28" s="2">
        <v>922151</v>
      </c>
      <c r="C28" s="2">
        <v>125453</v>
      </c>
      <c r="D28" s="2">
        <v>9412</v>
      </c>
      <c r="E28" s="2">
        <v>770792</v>
      </c>
      <c r="F28" s="2">
        <v>16494</v>
      </c>
      <c r="G28" s="22">
        <f t="shared" si="0"/>
        <v>0.13604388001531204</v>
      </c>
      <c r="H28" s="2">
        <v>917684.8</v>
      </c>
      <c r="I28" s="2">
        <v>124263.9</v>
      </c>
      <c r="J28" s="2">
        <v>7439.3810000000003</v>
      </c>
      <c r="K28" s="2">
        <v>769518.9</v>
      </c>
      <c r="L28" s="2">
        <v>16462.66</v>
      </c>
      <c r="M28" s="2">
        <v>-4466.2169999999996</v>
      </c>
      <c r="N28" s="2">
        <v>-1189.106</v>
      </c>
      <c r="O28" s="2">
        <v>-1972.6189999999999</v>
      </c>
      <c r="P28" s="2">
        <v>-1273.146</v>
      </c>
      <c r="Q28" s="2">
        <v>-31.344069999999999</v>
      </c>
      <c r="R28">
        <f>COUNTIFS(H28, "&lt;=" &amp; senatesum!$B$4)</f>
        <v>0</v>
      </c>
      <c r="S28">
        <f>COUNTIFS(H28, "&gt;=" &amp; senatesum!$B$5)</f>
        <v>0</v>
      </c>
    </row>
    <row r="29" spans="1:19" x14ac:dyDescent="0.35">
      <c r="A29">
        <v>28</v>
      </c>
      <c r="B29" s="2">
        <v>909503</v>
      </c>
      <c r="C29" s="2">
        <v>495475</v>
      </c>
      <c r="D29" s="2">
        <v>65317</v>
      </c>
      <c r="E29" s="2">
        <v>303985</v>
      </c>
      <c r="F29" s="2">
        <v>44726</v>
      </c>
      <c r="G29" s="22">
        <f t="shared" si="0"/>
        <v>0.54477555324171556</v>
      </c>
      <c r="H29" s="2">
        <v>901238.6</v>
      </c>
      <c r="I29" s="2">
        <v>493635.6</v>
      </c>
      <c r="J29" s="2">
        <v>61938.61</v>
      </c>
      <c r="K29" s="2">
        <v>300998.8</v>
      </c>
      <c r="L29" s="2">
        <v>44665.599999999999</v>
      </c>
      <c r="M29" s="2">
        <v>-8264.3780000000006</v>
      </c>
      <c r="N29" s="2">
        <v>-1839.4010000000001</v>
      </c>
      <c r="O29" s="2">
        <v>-3378.3890000000001</v>
      </c>
      <c r="P29" s="2">
        <v>-2986.1849999999999</v>
      </c>
      <c r="Q29" s="2">
        <v>-60.403239999999997</v>
      </c>
      <c r="R29">
        <f>COUNTIFS(H29, "&lt;=" &amp; senatesum!$B$4)</f>
        <v>0</v>
      </c>
      <c r="S29">
        <f>COUNTIFS(H29, "&gt;=" &amp; senatesum!$B$5)</f>
        <v>0</v>
      </c>
    </row>
    <row r="30" spans="1:19" x14ac:dyDescent="0.35">
      <c r="A30">
        <v>29</v>
      </c>
      <c r="B30" s="2">
        <v>918000</v>
      </c>
      <c r="C30" s="2">
        <v>111713</v>
      </c>
      <c r="D30" s="2">
        <v>29611</v>
      </c>
      <c r="E30" s="2">
        <v>751717</v>
      </c>
      <c r="F30" s="2">
        <v>24959</v>
      </c>
      <c r="G30" s="22">
        <f t="shared" si="0"/>
        <v>0.1216917211328976</v>
      </c>
      <c r="H30" s="2">
        <v>918039.3</v>
      </c>
      <c r="I30" s="2">
        <v>111303.1</v>
      </c>
      <c r="J30" s="2">
        <v>29324</v>
      </c>
      <c r="K30" s="2">
        <v>752461.2</v>
      </c>
      <c r="L30" s="2">
        <v>24951</v>
      </c>
      <c r="M30" s="2">
        <v>39.314819999999997</v>
      </c>
      <c r="N30" s="2">
        <v>-409.90170000000001</v>
      </c>
      <c r="O30" s="2">
        <v>-287.00470000000001</v>
      </c>
      <c r="P30" s="2">
        <v>744.22209999999995</v>
      </c>
      <c r="Q30" s="2">
        <v>-8.0002460000000006</v>
      </c>
      <c r="R30">
        <f>COUNTIFS(H30, "&lt;=" &amp; senatesum!$B$4)</f>
        <v>0</v>
      </c>
      <c r="S30">
        <f>COUNTIFS(H30, "&gt;=" &amp; senatesum!$B$5)</f>
        <v>0</v>
      </c>
    </row>
    <row r="31" spans="1:19" x14ac:dyDescent="0.35">
      <c r="A31">
        <v>30</v>
      </c>
      <c r="B31" s="2">
        <v>965445</v>
      </c>
      <c r="C31" s="2">
        <v>565710</v>
      </c>
      <c r="D31" s="2">
        <v>96350</v>
      </c>
      <c r="E31" s="2">
        <v>174584</v>
      </c>
      <c r="F31" s="2">
        <v>128801</v>
      </c>
      <c r="G31" s="22">
        <f t="shared" si="0"/>
        <v>0.58595777076892008</v>
      </c>
      <c r="H31" s="2">
        <v>968244.1</v>
      </c>
      <c r="I31" s="2">
        <v>567662.80000000005</v>
      </c>
      <c r="J31" s="2">
        <v>96958.74</v>
      </c>
      <c r="K31" s="2">
        <v>174805.3</v>
      </c>
      <c r="L31" s="2">
        <v>128817.3</v>
      </c>
      <c r="M31" s="2">
        <v>2799.127</v>
      </c>
      <c r="N31" s="2">
        <v>1952.7950000000001</v>
      </c>
      <c r="O31" s="2">
        <v>608.74440000000004</v>
      </c>
      <c r="P31" s="2">
        <v>221.3133</v>
      </c>
      <c r="Q31" s="2">
        <v>16.274460000000001</v>
      </c>
      <c r="R31">
        <f>COUNTIFS(H31, "&lt;=" &amp; senatesum!$B$4)</f>
        <v>0</v>
      </c>
      <c r="S31">
        <f>COUNTIFS(H31, "&gt;=" &amp; senatesum!$B$5)</f>
        <v>0</v>
      </c>
    </row>
    <row r="32" spans="1:19" x14ac:dyDescent="0.35">
      <c r="A32">
        <v>31</v>
      </c>
      <c r="B32" s="2">
        <v>907784</v>
      </c>
      <c r="C32" s="2">
        <v>415271</v>
      </c>
      <c r="D32" s="2">
        <v>48330</v>
      </c>
      <c r="E32" s="2">
        <v>402635</v>
      </c>
      <c r="F32" s="2">
        <v>41548</v>
      </c>
      <c r="G32" s="22">
        <f t="shared" si="0"/>
        <v>0.45745573836947995</v>
      </c>
      <c r="H32" s="2">
        <v>905987</v>
      </c>
      <c r="I32" s="2">
        <v>415112</v>
      </c>
      <c r="J32" s="2">
        <v>46669</v>
      </c>
      <c r="K32" s="2">
        <v>402663</v>
      </c>
      <c r="L32" s="2">
        <v>41543</v>
      </c>
      <c r="M32" s="2">
        <v>-1797</v>
      </c>
      <c r="N32" s="2">
        <v>-159</v>
      </c>
      <c r="O32" s="2">
        <v>-1661</v>
      </c>
      <c r="P32" s="2">
        <v>27.999759999999998</v>
      </c>
      <c r="Q32" s="2">
        <v>-4.9999690000000001</v>
      </c>
      <c r="R32">
        <f>COUNTIFS(H32, "&lt;=" &amp; senatesum!$B$4)</f>
        <v>0</v>
      </c>
      <c r="S32">
        <f>COUNTIFS(H32, "&gt;=" &amp; senatesum!$B$5)</f>
        <v>0</v>
      </c>
    </row>
    <row r="33" spans="1:17" x14ac:dyDescent="0.35">
      <c r="A33" t="s">
        <v>23</v>
      </c>
      <c r="B33" s="2">
        <v>29145505</v>
      </c>
      <c r="C33" s="2">
        <v>11584597</v>
      </c>
      <c r="D33" s="2">
        <v>3727721</v>
      </c>
      <c r="E33" s="2">
        <v>11441717</v>
      </c>
      <c r="F33" s="2">
        <v>2391470</v>
      </c>
      <c r="G33" s="2"/>
      <c r="H33" s="2">
        <v>29145506.800000001</v>
      </c>
      <c r="I33" s="2">
        <v>11584596.899999999</v>
      </c>
      <c r="J33" s="2">
        <v>3727722.0210000002</v>
      </c>
      <c r="K33" s="2">
        <v>11441718.000000002</v>
      </c>
      <c r="L33" s="2">
        <v>2391469.9299999997</v>
      </c>
      <c r="M33" s="2"/>
      <c r="N33" s="2"/>
      <c r="O33" s="2"/>
      <c r="P33" s="2"/>
      <c r="Q3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CA6C-0532-46D8-96FF-6A9BA70ED8A7}">
  <dimension ref="A1:B16"/>
  <sheetViews>
    <sheetView workbookViewId="0">
      <selection activeCell="B17" sqref="B17"/>
    </sheetView>
  </sheetViews>
  <sheetFormatPr defaultRowHeight="14.5" x14ac:dyDescent="0.35"/>
  <cols>
    <col min="1" max="1" width="16.81640625" customWidth="1"/>
    <col min="2" max="2" width="14.453125" customWidth="1"/>
  </cols>
  <sheetData>
    <row r="1" spans="1:2" x14ac:dyDescent="0.35">
      <c r="A1" s="12" t="s">
        <v>0</v>
      </c>
      <c r="B1" s="13">
        <f>senate!H33</f>
        <v>29145506.800000001</v>
      </c>
    </row>
    <row r="2" spans="1:2" x14ac:dyDescent="0.35">
      <c r="A2" s="12" t="s">
        <v>1</v>
      </c>
      <c r="B2" s="13">
        <f>B1/31</f>
        <v>940177.6387096775</v>
      </c>
    </row>
    <row r="3" spans="1:2" x14ac:dyDescent="0.35">
      <c r="A3" s="12" t="s">
        <v>2</v>
      </c>
      <c r="B3" s="13">
        <f>0.05*B2</f>
        <v>47008.881935483878</v>
      </c>
    </row>
    <row r="4" spans="1:2" x14ac:dyDescent="0.35">
      <c r="A4" s="12" t="s">
        <v>3</v>
      </c>
      <c r="B4" s="13">
        <f>B2-B3</f>
        <v>893168.75677419361</v>
      </c>
    </row>
    <row r="5" spans="1:2" x14ac:dyDescent="0.35">
      <c r="A5" s="12" t="s">
        <v>4</v>
      </c>
      <c r="B5" s="13">
        <f>B2+B3</f>
        <v>987186.52064516139</v>
      </c>
    </row>
    <row r="6" spans="1:2" x14ac:dyDescent="0.35">
      <c r="A6" s="13"/>
      <c r="B6" s="13"/>
    </row>
    <row r="7" spans="1:2" x14ac:dyDescent="0.35">
      <c r="A7" s="12" t="s">
        <v>5</v>
      </c>
      <c r="B7" s="11"/>
    </row>
    <row r="8" spans="1:2" x14ac:dyDescent="0.35">
      <c r="A8" s="12" t="s">
        <v>6</v>
      </c>
      <c r="B8" s="1">
        <v>-712</v>
      </c>
    </row>
    <row r="9" spans="1:2" x14ac:dyDescent="0.35">
      <c r="A9" s="12" t="s">
        <v>7</v>
      </c>
      <c r="B9" s="1">
        <v>747</v>
      </c>
    </row>
    <row r="10" spans="1:2" x14ac:dyDescent="0.35">
      <c r="A10" s="17" t="s">
        <v>8</v>
      </c>
      <c r="B10" s="1">
        <v>469</v>
      </c>
    </row>
    <row r="11" spans="1:2" x14ac:dyDescent="0.35">
      <c r="A11" s="12" t="s">
        <v>9</v>
      </c>
      <c r="B11" s="1">
        <v>786</v>
      </c>
    </row>
    <row r="12" spans="1:2" x14ac:dyDescent="0.35">
      <c r="A12" s="3"/>
      <c r="B12" s="3"/>
    </row>
    <row r="13" spans="1:2" x14ac:dyDescent="0.35">
      <c r="A13" s="12" t="s">
        <v>28</v>
      </c>
      <c r="B13" s="14">
        <f>senate!I$33/senate!$H$33</f>
        <v>0.39747453971189817</v>
      </c>
    </row>
    <row r="14" spans="1:2" x14ac:dyDescent="0.35">
      <c r="A14" s="12" t="s">
        <v>29</v>
      </c>
      <c r="B14" s="14">
        <f>senate!J$33/senate!$H$33</f>
        <v>0.12790040147800757</v>
      </c>
    </row>
    <row r="15" spans="1:2" x14ac:dyDescent="0.35">
      <c r="A15" s="12" t="s">
        <v>30</v>
      </c>
      <c r="B15" s="14">
        <f>senate!K$33/senate!$H$33</f>
        <v>0.39257227807066308</v>
      </c>
    </row>
    <row r="16" spans="1:2" x14ac:dyDescent="0.35">
      <c r="A16" s="12" t="s">
        <v>31</v>
      </c>
      <c r="B16" s="14">
        <f>senate!L$33/senate!$H$33</f>
        <v>8.2052782489272058E-2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</vt:lpstr>
      <vt:lpstr>housesum</vt:lpstr>
      <vt:lpstr>senate</vt:lpstr>
      <vt:lpstr>senatesum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Rory Kramer</dc:creator>
  <cp:keywords/>
  <dc:description/>
  <cp:lastModifiedBy>Denise Wilson</cp:lastModifiedBy>
  <cp:revision/>
  <dcterms:created xsi:type="dcterms:W3CDTF">2021-10-08T18:53:35Z</dcterms:created>
  <dcterms:modified xsi:type="dcterms:W3CDTF">2022-09-29T18:43:17Z</dcterms:modified>
  <cp:category/>
  <cp:contentStatus/>
</cp:coreProperties>
</file>